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F:\RnD_Repo\Research_Engineering\modeling_vce_residual\results_cnn_subnetwork_evaluation\PLV_subnetwork_unify_node_index\"/>
    </mc:Choice>
  </mc:AlternateContent>
  <xr:revisionPtr revIDLastSave="0" documentId="13_ncr:1_{A8F3AF6D-D29E-4ABA-AE17-76A5D636572F}" xr6:coauthVersionLast="47" xr6:coauthVersionMax="47" xr10:uidLastSave="{00000000-0000-0000-0000-000000000000}"/>
  <bookViews>
    <workbookView xWindow="-120" yWindow="-120" windowWidth="29040" windowHeight="15720" tabRatio="633" xr2:uid="{00000000-000D-0000-FFFF-FFFF00000000}"/>
  </bookViews>
  <sheets>
    <sheet name="plv_unified_nodes" sheetId="13" r:id="rId1"/>
    <sheet name="plv_unified_nodes_B" sheetId="1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2" i="13" l="1" a="1"/>
  <c r="I12" i="13" s="1"/>
  <c r="J11" i="13"/>
  <c r="I11" i="13" a="1"/>
  <c r="I11" i="13" s="1"/>
  <c r="J10" i="13"/>
  <c r="I10" i="13" a="1"/>
  <c r="I10" i="13" s="1"/>
  <c r="J9" i="13"/>
  <c r="I9" i="13" a="1"/>
  <c r="I9" i="13" s="1"/>
  <c r="J6" i="13"/>
  <c r="I6" i="13" a="1"/>
  <c r="I6" i="13" s="1"/>
  <c r="J5" i="13"/>
  <c r="I5" i="13" a="1"/>
  <c r="I5" i="13" s="1"/>
  <c r="J4" i="13"/>
  <c r="I4" i="13" a="1"/>
  <c r="I4" i="13" s="1"/>
  <c r="J3" i="13"/>
  <c r="I3" i="13" a="1"/>
  <c r="I3" i="13" s="1"/>
  <c r="J2" i="13"/>
  <c r="I2" i="13" a="1"/>
  <c r="I2" i="13" s="1"/>
  <c r="I23" i="12" a="1"/>
  <c r="I23" i="12" s="1"/>
  <c r="I22" i="12" a="1"/>
  <c r="I22" i="12" s="1"/>
  <c r="I21" i="12" a="1"/>
  <c r="I21" i="12" s="1"/>
  <c r="I20" i="12" a="1"/>
  <c r="I20" i="12" s="1"/>
  <c r="I19" i="12" a="1"/>
  <c r="I19" i="12" s="1"/>
  <c r="I18" i="12" a="1"/>
  <c r="I18" i="12" s="1"/>
  <c r="I17" i="12" a="1"/>
  <c r="I17" i="12" s="1"/>
  <c r="I15" i="12" a="1"/>
  <c r="I15" i="12" s="1"/>
  <c r="I11" i="12" a="1"/>
  <c r="I11" i="12" s="1"/>
  <c r="I10" i="12" a="1"/>
  <c r="I10" i="12" s="1"/>
  <c r="J20" i="12"/>
  <c r="J19" i="12"/>
  <c r="J18" i="12"/>
  <c r="J17" i="12"/>
  <c r="J14" i="12"/>
  <c r="I14" i="12" a="1"/>
  <c r="I14" i="12" s="1"/>
  <c r="J13" i="12"/>
  <c r="I13" i="12" a="1"/>
  <c r="I13" i="12" s="1"/>
  <c r="J12" i="12"/>
  <c r="I12" i="12" a="1"/>
  <c r="I12" i="12" s="1"/>
  <c r="J9" i="12"/>
  <c r="I9" i="12" a="1"/>
  <c r="I9" i="12" s="1"/>
  <c r="J6" i="12"/>
  <c r="I6" i="12" a="1"/>
  <c r="I6" i="12" s="1"/>
  <c r="J5" i="12"/>
  <c r="I5" i="12" a="1"/>
  <c r="I5" i="12" s="1"/>
  <c r="J4" i="12"/>
  <c r="I4" i="12" a="1"/>
  <c r="I4" i="12" s="1"/>
  <c r="J3" i="12"/>
  <c r="I3" i="12" a="1"/>
  <c r="I3" i="12" s="1"/>
  <c r="J2" i="12"/>
  <c r="I2" i="12" a="1"/>
  <c r="I2" i="1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<sst xmlns="http://schemas.openxmlformats.org/spreadsheetml/2006/main" count="170" uniqueCount="23">
  <si>
    <t>Residual Model</t>
    <phoneticPr fontId="1" type="noConversion"/>
  </si>
  <si>
    <t>Gaussian</t>
    <phoneticPr fontId="1" type="noConversion"/>
  </si>
  <si>
    <t>Power Law</t>
    <phoneticPr fontId="1" type="noConversion"/>
  </si>
  <si>
    <t>Rational Quadratic</t>
    <phoneticPr fontId="1" type="noConversion"/>
  </si>
  <si>
    <t>Generalized Gaussian</t>
    <phoneticPr fontId="1" type="noConversion"/>
  </si>
  <si>
    <t>basic optimal</t>
    <phoneticPr fontId="1" type="noConversion"/>
  </si>
  <si>
    <t>AUC</t>
    <phoneticPr fontId="1" type="noConversion"/>
  </si>
  <si>
    <t>Surface_Laplacian_Filtering</t>
    <phoneticPr fontId="1" type="noConversion"/>
  </si>
  <si>
    <t>Spatio_Spectral_Decomposition</t>
    <phoneticPr fontId="1" type="noConversion"/>
  </si>
  <si>
    <t>Model Config (Advanced Model&amp;Linaer_Ratio Recovery): 
FN_re=FN_ob-alpha*f(DM+deviation)+offset)+beta*(FN_ob/f(DM+deviation))</t>
    <phoneticPr fontId="1" type="noConversion"/>
  </si>
  <si>
    <t>Model Config (Basic Model&amp;Linaer Recovery): 
FN_re=FN_ob-alpha*f(DM(sigma))</t>
    <phoneticPr fontId="1" type="noConversion"/>
  </si>
  <si>
    <t>Graph Laplacian Highpass</t>
  </si>
  <si>
    <t>NNR</t>
    <phoneticPr fontId="1" type="noConversion"/>
  </si>
  <si>
    <t>Accuracy</t>
    <phoneticPr fontId="1" type="noConversion"/>
  </si>
  <si>
    <t>Accuracy_Std</t>
    <phoneticPr fontId="1" type="noConversion"/>
  </si>
  <si>
    <t>NRR</t>
    <phoneticPr fontId="1" type="noConversion"/>
  </si>
  <si>
    <t>F1 Score</t>
    <phoneticPr fontId="1" type="noConversion"/>
  </si>
  <si>
    <t>F1 Score_Std</t>
    <phoneticPr fontId="1" type="noConversion"/>
  </si>
  <si>
    <t>Original FN</t>
    <phoneticPr fontId="1" type="noConversion"/>
  </si>
  <si>
    <t>Generalized Surface Laplacian</t>
  </si>
  <si>
    <t>Exponential</t>
    <phoneticPr fontId="1" type="noConversion"/>
  </si>
  <si>
    <t>Inverse</t>
    <phoneticPr fontId="1" type="noConversion"/>
  </si>
  <si>
    <t>Sigmoid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</si>
</sst>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2" fillId="0" borderId="0" xfId="0" applyFont="1"/>
    <xf numFmtId="0" fontId="2" fillId="2" borderId="0" xfId="0" applyFont="1" applyFill="1" applyAlignment="1">
      <alignment horizontal="center" vertical="center"/>
    </xf>
    <xf numFmtId="0" fontId="2" fillId="2" borderId="0" xfId="0" applyFont="1" applyFill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2" fillId="2" borderId="9" xfId="0" applyFont="1" applyFill="1" applyBorder="1" applyAlignment="1">
      <alignment vertical="center"/>
    </xf>
    <xf numFmtId="0" fontId="2" fillId="2" borderId="11" xfId="0" applyFont="1" applyFill="1" applyBorder="1" applyAlignment="1">
      <alignment vertical="center"/>
    </xf>
    <xf numFmtId="0" fontId="2" fillId="2" borderId="7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/>
    <xf numFmtId="0" fontId="2" fillId="3" borderId="9" xfId="0" applyFont="1" applyFill="1" applyBorder="1"/>
    <xf numFmtId="0" fontId="2" fillId="3" borderId="11" xfId="0" applyFont="1" applyFill="1" applyBorder="1"/>
    <xf numFmtId="0" fontId="2" fillId="3" borderId="10" xfId="0" applyFont="1" applyFill="1" applyBorder="1"/>
    <xf numFmtId="0" fontId="2" fillId="3" borderId="1" xfId="0" applyFont="1" applyFill="1" applyBorder="1"/>
    <xf numFmtId="0" fontId="2" fillId="3" borderId="2" xfId="0" applyFont="1" applyFill="1" applyBorder="1"/>
    <xf numFmtId="0" fontId="2" fillId="3" borderId="3" xfId="0" applyFont="1" applyFill="1" applyBorder="1"/>
    <xf numFmtId="0" fontId="2" fillId="3" borderId="5" xfId="0" applyFont="1" applyFill="1" applyBorder="1"/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3" fillId="3" borderId="0" xfId="0" applyFont="1" applyFill="1"/>
    <xf numFmtId="0" fontId="3" fillId="2" borderId="12" xfId="0" applyFont="1" applyFill="1" applyBorder="1" applyAlignment="1">
      <alignment vertical="center"/>
    </xf>
    <xf numFmtId="0" fontId="3" fillId="2" borderId="15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3" borderId="2" xfId="0" applyFill="1" applyBorder="1"/>
    <xf numFmtId="0" fontId="0" fillId="3" borderId="3" xfId="0" applyFill="1" applyBorder="1"/>
    <xf numFmtId="0" fontId="0" fillId="3" borderId="5" xfId="0" applyFill="1" applyBorder="1"/>
    <xf numFmtId="0" fontId="0" fillId="3" borderId="7" xfId="0" applyFill="1" applyBorder="1"/>
    <xf numFmtId="0" fontId="0" fillId="3" borderId="8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5" xfId="0" applyFill="1" applyBorder="1"/>
    <xf numFmtId="0" fontId="0" fillId="2" borderId="7" xfId="0" applyFill="1" applyBorder="1"/>
    <xf numFmtId="0" fontId="0" fillId="2" borderId="8" xfId="0" applyFill="1" applyBorder="1"/>
    <xf numFmtId="0" fontId="3" fillId="2" borderId="8" xfId="0" applyFont="1" applyFill="1" applyBorder="1" applyAlignment="1">
      <alignment horizontal="center" vertical="center"/>
    </xf>
    <xf numFmtId="0" fontId="4" fillId="3" borderId="9" xfId="0" applyFont="1" applyFill="1" applyBorder="1"/>
    <xf numFmtId="0" fontId="4" fillId="3" borderId="11" xfId="0" applyFont="1" applyFill="1" applyBorder="1"/>
    <xf numFmtId="0" fontId="4" fillId="3" borderId="10" xfId="0" applyFont="1" applyFill="1" applyBorder="1"/>
    <xf numFmtId="0" fontId="4" fillId="2" borderId="9" xfId="0" applyFont="1" applyFill="1" applyBorder="1"/>
    <xf numFmtId="0" fontId="4" fillId="2" borderId="11" xfId="0" applyFont="1" applyFill="1" applyBorder="1"/>
    <xf numFmtId="0" fontId="4" fillId="2" borderId="10" xfId="0" applyFont="1" applyFill="1" applyBorder="1"/>
    <xf numFmtId="0" fontId="3" fillId="3" borderId="8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0" fillId="3" borderId="0" xfId="0" applyFill="1"/>
    <xf numFmtId="0" fontId="3" fillId="2" borderId="5" xfId="0" applyFont="1" applyFill="1" applyBorder="1" applyAlignment="1">
      <alignment horizontal="center" vertical="center"/>
    </xf>
    <xf numFmtId="0" fontId="0" fillId="2" borderId="0" xfId="0" applyFill="1"/>
    <xf numFmtId="0" fontId="0" fillId="2" borderId="1" xfId="0" applyFill="1" applyBorder="1"/>
    <xf numFmtId="0" fontId="0" fillId="2" borderId="4" xfId="0" applyFill="1" applyBorder="1"/>
    <xf numFmtId="0" fontId="0" fillId="2" borderId="6" xfId="0" applyFill="1" applyBorder="1"/>
    <xf numFmtId="0" fontId="0" fillId="3" borderId="1" xfId="0" applyFill="1" applyBorder="1"/>
    <xf numFmtId="0" fontId="0" fillId="3" borderId="4" xfId="0" applyFill="1" applyBorder="1"/>
    <xf numFmtId="0" fontId="0" fillId="3" borderId="6" xfId="0" applyFill="1" applyBorder="1"/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4C990-327E-45AC-B18D-895557BEF1EE}">
  <dimension ref="A1:R25"/>
  <sheetViews>
    <sheetView tabSelected="1" zoomScaleNormal="100" workbookViewId="0"/>
  </sheetViews>
  <sheetFormatPr defaultRowHeight="14.25" x14ac:dyDescent="0.2"/>
  <cols>
    <col min="1" max="1" width="18.75" style="1" customWidth="1"/>
    <col min="2" max="2" width="15" style="1" customWidth="1"/>
    <col min="3" max="10" width="9" style="1"/>
    <col min="11" max="11" width="18.75" style="1" customWidth="1"/>
    <col min="12" max="12" width="15" style="1" customWidth="1"/>
    <col min="13" max="16384" width="9" style="1"/>
  </cols>
  <sheetData>
    <row r="1" spans="1:18" ht="15" thickBot="1" x14ac:dyDescent="0.25">
      <c r="A1" s="27" t="s">
        <v>13</v>
      </c>
      <c r="B1" s="24" t="s">
        <v>12</v>
      </c>
      <c r="C1" s="23">
        <v>1</v>
      </c>
      <c r="D1" s="25">
        <v>0.75</v>
      </c>
      <c r="E1" s="25">
        <v>0.5</v>
      </c>
      <c r="F1" s="25">
        <v>0.3</v>
      </c>
      <c r="G1" s="25">
        <v>0.2</v>
      </c>
      <c r="H1" s="24">
        <v>0.1</v>
      </c>
      <c r="I1" s="35" t="s">
        <v>6</v>
      </c>
      <c r="J1" s="36"/>
      <c r="K1" s="27" t="s">
        <v>14</v>
      </c>
      <c r="L1" s="24" t="s">
        <v>12</v>
      </c>
      <c r="M1" s="26">
        <v>1</v>
      </c>
      <c r="N1" s="28">
        <v>0.75</v>
      </c>
      <c r="O1" s="28">
        <v>0.5</v>
      </c>
      <c r="P1" s="28">
        <v>0.3</v>
      </c>
      <c r="Q1" s="28">
        <v>0.2</v>
      </c>
      <c r="R1" s="39">
        <v>0.1</v>
      </c>
    </row>
    <row r="2" spans="1:18" ht="15" thickBot="1" x14ac:dyDescent="0.25">
      <c r="A2" s="90" t="s">
        <v>18</v>
      </c>
      <c r="B2" s="91"/>
      <c r="C2" s="19">
        <v>93.273358766079312</v>
      </c>
      <c r="D2" s="20">
        <v>91.615587793435367</v>
      </c>
      <c r="E2" s="20">
        <v>90.62053304959386</v>
      </c>
      <c r="F2" s="20">
        <v>86.59751381932368</v>
      </c>
      <c r="G2" s="20">
        <v>78.22435026831262</v>
      </c>
      <c r="H2" s="21">
        <v>60.854992978601317</v>
      </c>
      <c r="I2" s="14" cm="1">
        <f t="array" ref="I2">-SUMPRODUCT((D1:H1-C1:G1)*(C2:G2+D2:H2)/2)</f>
        <v>78.807498478937248</v>
      </c>
      <c r="J2" s="15" t="str">
        <f>"    "&amp;_xlfn.TEXTJOIN(", ",TRUE,C2:H2)&amp;","</f>
        <v xml:space="preserve">    93.2733587660793, 91.6155877934354, 90.6205330495939, 86.5975138193237, 78.2243502683126, 60.8549929786013,</v>
      </c>
      <c r="K2" s="90" t="s">
        <v>18</v>
      </c>
      <c r="L2" s="92"/>
      <c r="M2" s="16">
        <v>3.4672469457762647</v>
      </c>
      <c r="N2" s="17">
        <v>4.1066373858138912</v>
      </c>
      <c r="O2" s="17">
        <v>4.4433442831389707</v>
      </c>
      <c r="P2" s="17">
        <v>4.8572661690244194</v>
      </c>
      <c r="Q2" s="17">
        <v>6.7334065011993722</v>
      </c>
      <c r="R2" s="18">
        <v>9.3055912140758643</v>
      </c>
    </row>
    <row r="3" spans="1:18" ht="15" thickBot="1" x14ac:dyDescent="0.25">
      <c r="A3" s="90" t="s">
        <v>7</v>
      </c>
      <c r="B3" s="92"/>
      <c r="C3" s="51">
        <v>90.893410265948106</v>
      </c>
      <c r="D3" s="52">
        <v>89.973085118960086</v>
      </c>
      <c r="E3" s="52">
        <v>89.832951265437714</v>
      </c>
      <c r="F3" s="52">
        <v>87.905310599572644</v>
      </c>
      <c r="G3" s="52">
        <v>83.195912882752722</v>
      </c>
      <c r="H3" s="53">
        <v>63.880722728281953</v>
      </c>
      <c r="I3" s="14" cm="1">
        <f t="array" ref="I3">-SUMPRODUCT((D1:H1-C1:G1)*(C3:G3+D3:H3)/2)</f>
        <v>78.766785612332285</v>
      </c>
      <c r="J3" s="15" t="str">
        <f t="shared" ref="J3:J6" si="0">"    "&amp;_xlfn.TEXTJOIN(", ",TRUE,C3:H3)&amp;","</f>
        <v xml:space="preserve">    90.8934102659481, 89.9730851189601, 89.8329512654377, 87.9053105995726, 83.1959128827527, 63.880722728282,</v>
      </c>
      <c r="K3" s="90" t="s">
        <v>7</v>
      </c>
      <c r="L3" s="92"/>
      <c r="M3" s="51">
        <v>4.1858185509949788</v>
      </c>
      <c r="N3" s="52">
        <v>4.4130201436485903</v>
      </c>
      <c r="O3" s="52">
        <v>4.2368316026763271</v>
      </c>
      <c r="P3" s="52">
        <v>4.694457927684021</v>
      </c>
      <c r="Q3" s="52">
        <v>7.8368728720764711</v>
      </c>
      <c r="R3" s="53">
        <v>8.6381314058036338</v>
      </c>
    </row>
    <row r="4" spans="1:18" ht="15" thickBot="1" x14ac:dyDescent="0.25">
      <c r="A4" s="90" t="s">
        <v>8</v>
      </c>
      <c r="B4" s="92"/>
      <c r="C4" s="51">
        <v>90.463709316977955</v>
      </c>
      <c r="D4" s="52">
        <v>90.577023445992864</v>
      </c>
      <c r="E4" s="52">
        <v>90.372621447129006</v>
      </c>
      <c r="F4" s="52">
        <v>89.211296522172901</v>
      </c>
      <c r="G4" s="52">
        <v>86.78711465208751</v>
      </c>
      <c r="H4" s="53">
        <v>73.465528825220517</v>
      </c>
      <c r="I4" s="14" cm="1">
        <f t="array" ref="I4">-SUMPRODUCT((D1:H1-C1:G1)*(C4:G4+D4:H4)/2)</f>
        <v>80.019741736520203</v>
      </c>
      <c r="J4" s="15" t="str">
        <f t="shared" si="0"/>
        <v xml:space="preserve">    90.463709316978, 90.5770234459929, 90.372621447129, 89.2112965221729, 86.7871146520875, 73.4655288252205,</v>
      </c>
      <c r="K4" s="90" t="s">
        <v>8</v>
      </c>
      <c r="L4" s="92"/>
      <c r="M4" s="51">
        <v>3.9440882069396319</v>
      </c>
      <c r="N4" s="52">
        <v>3.8360075261314579</v>
      </c>
      <c r="O4" s="52">
        <v>4.3136489141908232</v>
      </c>
      <c r="P4" s="52">
        <v>5.3428974773885027</v>
      </c>
      <c r="Q4" s="52">
        <v>6.5785355359776858</v>
      </c>
      <c r="R4" s="53">
        <v>6.5693655100985682</v>
      </c>
    </row>
    <row r="5" spans="1:18" ht="15" thickBot="1" x14ac:dyDescent="0.25">
      <c r="A5" s="34" t="s">
        <v>19</v>
      </c>
      <c r="B5" s="23" t="s">
        <v>5</v>
      </c>
      <c r="C5" s="51">
        <v>92.058157942542735</v>
      </c>
      <c r="D5" s="52">
        <v>90.887372151431521</v>
      </c>
      <c r="E5" s="52">
        <v>89.71185448547709</v>
      </c>
      <c r="F5" s="52">
        <v>83.037451304365376</v>
      </c>
      <c r="G5" s="52">
        <v>75.203931983263985</v>
      </c>
      <c r="H5" s="53">
        <v>63.465093411996079</v>
      </c>
      <c r="I5" s="14" cm="1">
        <f t="array" ref="I5">-SUMPRODUCT((D1:H1-C1:G1)*(C5:G5+D5:H5)/2)</f>
        <v>77.563545604489065</v>
      </c>
      <c r="J5" s="15" t="str">
        <f t="shared" si="0"/>
        <v xml:space="preserve">    92.0581579425427, 90.8873721514315, 89.7118544854771, 83.0374513043654, 75.203931983264, 63.4650934119961,</v>
      </c>
      <c r="K5" s="34" t="s">
        <v>19</v>
      </c>
      <c r="L5" s="23" t="s">
        <v>5</v>
      </c>
      <c r="M5" s="51">
        <v>3.9660226433904531</v>
      </c>
      <c r="N5" s="52">
        <v>4.6976837370546658</v>
      </c>
      <c r="O5" s="52">
        <v>4.5961497607487596</v>
      </c>
      <c r="P5" s="52">
        <v>6.0993717695614356</v>
      </c>
      <c r="Q5" s="52">
        <v>6.9392630555147701</v>
      </c>
      <c r="R5" s="53">
        <v>9.4804743920054477</v>
      </c>
    </row>
    <row r="6" spans="1:18" ht="15" customHeight="1" thickBot="1" x14ac:dyDescent="0.25">
      <c r="A6" s="34" t="s">
        <v>11</v>
      </c>
      <c r="B6" s="23" t="s">
        <v>5</v>
      </c>
      <c r="C6" s="51">
        <v>93.261553588987198</v>
      </c>
      <c r="D6" s="52">
        <v>92.262536873156336</v>
      </c>
      <c r="E6" s="52">
        <v>91.46343249797431</v>
      </c>
      <c r="F6" s="52">
        <v>88.488412529520147</v>
      </c>
      <c r="G6" s="52">
        <v>81.916677479908984</v>
      </c>
      <c r="H6" s="53">
        <v>65.789678111402338</v>
      </c>
      <c r="I6" s="14" cm="1">
        <f t="array" ref="I6">-SUMPRODUCT((D1:H1-C1:G1)*(C6:G6+D6:H6)/2)</f>
        <v>80.057014261945739</v>
      </c>
      <c r="J6" s="15" t="str">
        <f t="shared" si="0"/>
        <v xml:space="preserve">    93.2615535889872, 92.2625368731563, 91.4634324979743, 88.4884125295201, 81.916677479909, 65.7896781114023,</v>
      </c>
      <c r="K6" s="34" t="s">
        <v>11</v>
      </c>
      <c r="L6" s="23" t="s">
        <v>5</v>
      </c>
      <c r="M6" s="51">
        <v>3.7163590373389832</v>
      </c>
      <c r="N6" s="52">
        <v>3.6508096514884429</v>
      </c>
      <c r="O6" s="52">
        <v>4.1017435304866927</v>
      </c>
      <c r="P6" s="52">
        <v>4.2871155648061769</v>
      </c>
      <c r="Q6" s="52">
        <v>5.6468144906906579</v>
      </c>
      <c r="R6" s="53">
        <v>8.5322939368156661</v>
      </c>
    </row>
    <row r="7" spans="1:18" ht="15" thickBot="1" x14ac:dyDescent="0.25">
      <c r="A7" s="12"/>
      <c r="B7" s="13"/>
      <c r="C7" s="15"/>
      <c r="D7" s="15"/>
      <c r="E7" s="15"/>
      <c r="F7" s="15"/>
      <c r="G7" s="15"/>
      <c r="H7" s="22"/>
      <c r="I7" s="14"/>
      <c r="J7" s="15"/>
      <c r="K7" s="12"/>
      <c r="L7" s="13"/>
      <c r="M7" s="15"/>
      <c r="N7" s="15"/>
      <c r="O7" s="15"/>
      <c r="P7" s="15"/>
      <c r="Q7" s="15"/>
      <c r="R7" s="22"/>
    </row>
    <row r="8" spans="1:18" ht="30" customHeight="1" thickBot="1" x14ac:dyDescent="0.25">
      <c r="A8" s="84" t="s">
        <v>10</v>
      </c>
      <c r="B8" s="85"/>
      <c r="C8" s="85"/>
      <c r="D8" s="85"/>
      <c r="E8" s="85"/>
      <c r="F8" s="85"/>
      <c r="G8" s="85"/>
      <c r="H8" s="86"/>
      <c r="I8" s="14"/>
      <c r="J8" s="15"/>
      <c r="K8" s="84" t="s">
        <v>10</v>
      </c>
      <c r="L8" s="85"/>
      <c r="M8" s="85"/>
      <c r="N8" s="85"/>
      <c r="O8" s="85"/>
      <c r="P8" s="85"/>
      <c r="Q8" s="85"/>
      <c r="R8" s="86"/>
    </row>
    <row r="9" spans="1:18" x14ac:dyDescent="0.2">
      <c r="A9" s="81" t="s">
        <v>0</v>
      </c>
      <c r="B9" s="39" t="s">
        <v>20</v>
      </c>
      <c r="C9" s="40">
        <v>93.537862207573866</v>
      </c>
      <c r="D9" s="40">
        <v>92.113094980637072</v>
      </c>
      <c r="E9" s="40">
        <v>91.621447129012068</v>
      </c>
      <c r="F9" s="40">
        <v>88.877372064925595</v>
      </c>
      <c r="G9" s="40">
        <v>82.755514032705008</v>
      </c>
      <c r="H9" s="41">
        <v>64.344982799735888</v>
      </c>
      <c r="I9" s="14" cm="1">
        <f t="array" ref="I9">-SUMPRODUCT((D1:H1-C1:G1)*(C9:G9+D9:H9)/2)</f>
        <v>80.159738478129853</v>
      </c>
      <c r="J9" s="15" t="str">
        <f t="shared" ref="J9" si="1">"    "&amp;_xlfn.TEXTJOIN(", ",TRUE,C9:H9)&amp;","</f>
        <v xml:space="preserve">    93.5378622075739, 92.1130949806371, 91.6214471290121, 88.8773720649256, 82.755514032705, 64.3449827997359,</v>
      </c>
      <c r="K9" s="81" t="s">
        <v>0</v>
      </c>
      <c r="L9" s="39" t="s">
        <v>20</v>
      </c>
      <c r="M9" s="40">
        <v>3.4495774358328521</v>
      </c>
      <c r="N9" s="40">
        <v>3.7981024643433421</v>
      </c>
      <c r="O9" s="40">
        <v>4.308673985590417</v>
      </c>
      <c r="P9" s="40">
        <v>4.6821927157620946</v>
      </c>
      <c r="Q9" s="40">
        <v>6.1649171977458499</v>
      </c>
      <c r="R9" s="41">
        <v>8.8218177351102298</v>
      </c>
    </row>
    <row r="10" spans="1:18" x14ac:dyDescent="0.2">
      <c r="A10" s="82"/>
      <c r="B10" s="58" t="s">
        <v>3</v>
      </c>
      <c r="C10" s="59">
        <v>93.631268436578168</v>
      </c>
      <c r="D10" s="59">
        <v>92.061987272092892</v>
      </c>
      <c r="E10" s="59">
        <v>91.30385210944732</v>
      </c>
      <c r="F10" s="59">
        <v>88.420565921850525</v>
      </c>
      <c r="G10" s="59">
        <v>82.080090081517426</v>
      </c>
      <c r="H10" s="42">
        <v>63.820808715184967</v>
      </c>
      <c r="I10" s="14" cm="1">
        <f t="array" ref="I10">-SUMPRODUCT((D1:H1-C1:G1)*(C10:G10+D10:H10)/2)</f>
        <v>79.924906429409702</v>
      </c>
      <c r="J10" s="15" t="str">
        <f t="shared" ref="J10:J11" si="2">"    "&amp;_xlfn.TEXTJOIN(", ",TRUE,C10:H10)&amp;","</f>
        <v xml:space="preserve">    93.6312684365782, 92.0619872720929, 91.3038521094473, 88.4205659218505, 82.0800900815174, 63.820808715185,</v>
      </c>
      <c r="K10" s="82"/>
      <c r="L10" s="58" t="s">
        <v>3</v>
      </c>
      <c r="M10" s="59">
        <v>3.3774918083626022</v>
      </c>
      <c r="N10" s="59">
        <v>3.8430128420147169</v>
      </c>
      <c r="O10" s="59">
        <v>4.0945118585739042</v>
      </c>
      <c r="P10" s="59">
        <v>4.4821098583039802</v>
      </c>
      <c r="Q10" s="59">
        <v>6.5622798997022</v>
      </c>
      <c r="R10" s="42">
        <v>8.7521755721562418</v>
      </c>
    </row>
    <row r="11" spans="1:18" x14ac:dyDescent="0.2">
      <c r="A11" s="82"/>
      <c r="B11" s="58" t="s">
        <v>4</v>
      </c>
      <c r="C11" s="59">
        <v>93.023621888309293</v>
      </c>
      <c r="D11" s="59">
        <v>91.919462971132958</v>
      </c>
      <c r="E11" s="59">
        <v>91.078783841844071</v>
      </c>
      <c r="F11" s="59">
        <v>86.99295553306402</v>
      </c>
      <c r="G11" s="59">
        <v>78.699760955256252</v>
      </c>
      <c r="H11" s="42">
        <v>61.317208626372199</v>
      </c>
      <c r="I11" s="14" cm="1">
        <f t="array" ref="I11">-SUMPRODUCT((D1:H1-C1:G1)*(C11:G11+D11:H11)/2)</f>
        <v>79.085324700040658</v>
      </c>
      <c r="J11" s="15" t="str">
        <f t="shared" si="2"/>
        <v xml:space="preserve">    93.0236218883093, 91.919462971133, 91.0787838418441, 86.992955533064, 78.6997609552563, 61.3172086263722,</v>
      </c>
      <c r="K11" s="82"/>
      <c r="L11" s="58" t="s">
        <v>4</v>
      </c>
      <c r="M11" s="59">
        <v>3.786969123021338</v>
      </c>
      <c r="N11" s="59">
        <v>4.5133212846792574</v>
      </c>
      <c r="O11" s="59">
        <v>4.1913609661175641</v>
      </c>
      <c r="P11" s="59">
        <v>4.7849174518298483</v>
      </c>
      <c r="Q11" s="59">
        <v>6.3195029388907873</v>
      </c>
      <c r="R11" s="42">
        <v>9.4996510959937055</v>
      </c>
    </row>
    <row r="12" spans="1:18" ht="15" thickBot="1" x14ac:dyDescent="0.25">
      <c r="A12" s="83"/>
      <c r="B12" s="57" t="s">
        <v>22</v>
      </c>
      <c r="C12" s="43">
        <v>93.599803343166187</v>
      </c>
      <c r="D12" s="43">
        <v>92.279264238156614</v>
      </c>
      <c r="E12" s="43">
        <v>91.59506570126041</v>
      </c>
      <c r="F12" s="43">
        <v>88.977505572424221</v>
      </c>
      <c r="G12" s="43">
        <v>82.90036822694546</v>
      </c>
      <c r="H12" s="44">
        <v>64.569301349204295</v>
      </c>
      <c r="I12" s="14" cm="1">
        <f t="array" ref="I12">-SUMPRODUCT((D1:H1-C1:G1)*(C12:G12+D12:H12)/2)</f>
        <v>80.2438089862369</v>
      </c>
      <c r="J12" s="15"/>
      <c r="K12" s="83"/>
      <c r="L12" s="57" t="s">
        <v>22</v>
      </c>
      <c r="M12" s="43">
        <v>3.243125348932931</v>
      </c>
      <c r="N12" s="43">
        <v>3.807558006198259</v>
      </c>
      <c r="O12" s="43">
        <v>4.1917811814501587</v>
      </c>
      <c r="P12" s="43">
        <v>4.1169089363556033</v>
      </c>
      <c r="Q12" s="43">
        <v>5.774765554208833</v>
      </c>
      <c r="R12" s="44">
        <v>9.1463899997089353</v>
      </c>
    </row>
    <row r="13" spans="1:18" ht="15" thickBot="1" x14ac:dyDescent="0.25"/>
    <row r="14" spans="1:18" ht="15" thickBot="1" x14ac:dyDescent="0.25">
      <c r="A14" s="38" t="s">
        <v>16</v>
      </c>
      <c r="B14" s="30" t="s">
        <v>15</v>
      </c>
      <c r="C14" s="31">
        <v>1</v>
      </c>
      <c r="D14" s="31">
        <v>0.75</v>
      </c>
      <c r="E14" s="31">
        <v>0.5</v>
      </c>
      <c r="F14" s="31">
        <v>0.3</v>
      </c>
      <c r="G14" s="31">
        <v>0.2</v>
      </c>
      <c r="H14" s="30">
        <v>0.1</v>
      </c>
      <c r="I14" s="2"/>
      <c r="J14" s="3"/>
      <c r="K14" s="38" t="s">
        <v>17</v>
      </c>
      <c r="L14" s="30" t="s">
        <v>15</v>
      </c>
      <c r="M14" s="32">
        <v>1</v>
      </c>
      <c r="N14" s="32">
        <v>0.75</v>
      </c>
      <c r="O14" s="32">
        <v>0.5</v>
      </c>
      <c r="P14" s="32">
        <v>0.3</v>
      </c>
      <c r="Q14" s="32">
        <v>0.2</v>
      </c>
      <c r="R14" s="33">
        <v>0.1</v>
      </c>
    </row>
    <row r="15" spans="1:18" ht="15" thickBot="1" x14ac:dyDescent="0.25">
      <c r="A15" s="71" t="s">
        <v>18</v>
      </c>
      <c r="B15" s="72"/>
      <c r="C15" s="4">
        <v>92.866950218042462</v>
      </c>
      <c r="D15" s="5">
        <v>91.242690764745561</v>
      </c>
      <c r="E15" s="5">
        <v>90.137053227698445</v>
      </c>
      <c r="F15" s="5">
        <v>86.080152926613408</v>
      </c>
      <c r="G15" s="5">
        <v>77.410217255196784</v>
      </c>
      <c r="H15" s="6">
        <v>59.676194764980139</v>
      </c>
      <c r="I15" s="3"/>
      <c r="J15" s="3"/>
      <c r="K15" s="71" t="s">
        <v>18</v>
      </c>
      <c r="L15" s="72"/>
      <c r="M15" s="4">
        <v>3.8319643020864191</v>
      </c>
      <c r="N15" s="5">
        <v>4.3603246705255447</v>
      </c>
      <c r="O15" s="5">
        <v>4.7987735191879262</v>
      </c>
      <c r="P15" s="5">
        <v>5.1262965367330251</v>
      </c>
      <c r="Q15" s="5">
        <v>7.087258799823358</v>
      </c>
      <c r="R15" s="6">
        <v>9.7457736576346736</v>
      </c>
    </row>
    <row r="16" spans="1:18" ht="15" thickBot="1" x14ac:dyDescent="0.25">
      <c r="A16" s="73" t="s">
        <v>7</v>
      </c>
      <c r="B16" s="74"/>
      <c r="C16" s="54">
        <v>90.167004245429965</v>
      </c>
      <c r="D16" s="55">
        <v>89.286886961516899</v>
      </c>
      <c r="E16" s="55">
        <v>89.168853181192915</v>
      </c>
      <c r="F16" s="55">
        <v>87.327130630050405</v>
      </c>
      <c r="G16" s="55">
        <v>82.443797164732089</v>
      </c>
      <c r="H16" s="56">
        <v>62.88633221353097</v>
      </c>
      <c r="I16" s="3"/>
      <c r="J16" s="3"/>
      <c r="K16" s="73" t="s">
        <v>7</v>
      </c>
      <c r="L16" s="74"/>
      <c r="M16" s="54">
        <v>4.692442706964763</v>
      </c>
      <c r="N16" s="55">
        <v>4.9142494256914979</v>
      </c>
      <c r="O16" s="55">
        <v>4.8450623502747883</v>
      </c>
      <c r="P16" s="55">
        <v>5.0292220586155425</v>
      </c>
      <c r="Q16" s="55">
        <v>8.5304375015497467</v>
      </c>
      <c r="R16" s="56">
        <v>9.2372323757488175</v>
      </c>
    </row>
    <row r="17" spans="1:18" ht="15" thickBot="1" x14ac:dyDescent="0.25">
      <c r="A17" s="73" t="s">
        <v>8</v>
      </c>
      <c r="B17" s="74"/>
      <c r="C17" s="54">
        <v>89.76392584000024</v>
      </c>
      <c r="D17" s="55">
        <v>89.945902653994779</v>
      </c>
      <c r="E17" s="55">
        <v>89.722896114142074</v>
      </c>
      <c r="F17" s="55">
        <v>88.447274371220459</v>
      </c>
      <c r="G17" s="55">
        <v>86.026761261405397</v>
      </c>
      <c r="H17" s="56">
        <v>72.601697213017559</v>
      </c>
      <c r="I17" s="3"/>
      <c r="J17" s="3"/>
      <c r="K17" s="73" t="s">
        <v>8</v>
      </c>
      <c r="L17" s="74"/>
      <c r="M17" s="54">
        <v>4.27043932552135</v>
      </c>
      <c r="N17" s="55">
        <v>4.2214545403819388</v>
      </c>
      <c r="O17" s="55">
        <v>4.6925158434842702</v>
      </c>
      <c r="P17" s="55">
        <v>5.9595707783623313</v>
      </c>
      <c r="Q17" s="55">
        <v>7.276461425035877</v>
      </c>
      <c r="R17" s="56">
        <v>7.1503983057801017</v>
      </c>
    </row>
    <row r="18" spans="1:18" ht="15" thickBot="1" x14ac:dyDescent="0.25">
      <c r="A18" s="37" t="s">
        <v>19</v>
      </c>
      <c r="B18" s="29" t="s">
        <v>5</v>
      </c>
      <c r="C18" s="54">
        <v>91.619678222782014</v>
      </c>
      <c r="D18" s="55">
        <v>90.477642868273122</v>
      </c>
      <c r="E18" s="55">
        <v>89.249726325934745</v>
      </c>
      <c r="F18" s="55">
        <v>82.414109622100952</v>
      </c>
      <c r="G18" s="55">
        <v>73.966347771076229</v>
      </c>
      <c r="H18" s="56">
        <v>61.982668241276919</v>
      </c>
      <c r="I18" s="3"/>
      <c r="J18" s="3"/>
      <c r="K18" s="37" t="s">
        <v>19</v>
      </c>
      <c r="L18" s="29" t="s">
        <v>5</v>
      </c>
      <c r="M18" s="54">
        <v>4.3157793090661869</v>
      </c>
      <c r="N18" s="55">
        <v>5.0082047971697463</v>
      </c>
      <c r="O18" s="55">
        <v>4.9157360154303626</v>
      </c>
      <c r="P18" s="55">
        <v>6.4607594421800485</v>
      </c>
      <c r="Q18" s="55">
        <v>7.5277360194716394</v>
      </c>
      <c r="R18" s="56">
        <v>10.23873481281947</v>
      </c>
    </row>
    <row r="19" spans="1:18" ht="15" thickBot="1" x14ac:dyDescent="0.25">
      <c r="A19" s="37" t="s">
        <v>11</v>
      </c>
      <c r="B19" s="29" t="s">
        <v>5</v>
      </c>
      <c r="C19" s="54">
        <v>92.820569160063698</v>
      </c>
      <c r="D19" s="55">
        <v>91.929513718185461</v>
      </c>
      <c r="E19" s="55">
        <v>91.068600617887512</v>
      </c>
      <c r="F19" s="55">
        <v>87.835824294740178</v>
      </c>
      <c r="G19" s="55">
        <v>81.288152020281487</v>
      </c>
      <c r="H19" s="56">
        <v>64.755290224104485</v>
      </c>
      <c r="I19" s="3"/>
      <c r="J19" s="3"/>
      <c r="K19" s="37" t="s">
        <v>11</v>
      </c>
      <c r="L19" s="29" t="s">
        <v>5</v>
      </c>
      <c r="M19" s="54">
        <v>4.1253708288557123</v>
      </c>
      <c r="N19" s="55">
        <v>3.9018411344898576</v>
      </c>
      <c r="O19" s="55">
        <v>4.3926416144774469</v>
      </c>
      <c r="P19" s="55">
        <v>4.6814475030684104</v>
      </c>
      <c r="Q19" s="55">
        <v>5.9529949247341838</v>
      </c>
      <c r="R19" s="56">
        <v>8.9582590287372614</v>
      </c>
    </row>
    <row r="20" spans="1:18" ht="15" thickBot="1" x14ac:dyDescent="0.25">
      <c r="A20" s="7"/>
      <c r="B20" s="8"/>
      <c r="C20" s="9"/>
      <c r="D20" s="9"/>
      <c r="E20" s="9"/>
      <c r="F20" s="9"/>
      <c r="G20" s="9"/>
      <c r="H20" s="10"/>
      <c r="I20" s="11"/>
      <c r="J20" s="3"/>
      <c r="K20" s="7"/>
      <c r="L20" s="8"/>
      <c r="M20" s="9"/>
      <c r="N20" s="9"/>
      <c r="O20" s="9"/>
      <c r="P20" s="9"/>
      <c r="Q20" s="9"/>
      <c r="R20" s="10"/>
    </row>
    <row r="21" spans="1:18" ht="15" thickBot="1" x14ac:dyDescent="0.25">
      <c r="A21" s="78" t="s">
        <v>10</v>
      </c>
      <c r="B21" s="79"/>
      <c r="C21" s="79"/>
      <c r="D21" s="79"/>
      <c r="E21" s="79"/>
      <c r="F21" s="79"/>
      <c r="G21" s="79"/>
      <c r="H21" s="80"/>
      <c r="I21" s="2"/>
      <c r="J21" s="3"/>
      <c r="K21" s="78" t="s">
        <v>10</v>
      </c>
      <c r="L21" s="79"/>
      <c r="M21" s="79"/>
      <c r="N21" s="79"/>
      <c r="O21" s="79"/>
      <c r="P21" s="79"/>
      <c r="Q21" s="79"/>
      <c r="R21" s="80"/>
    </row>
    <row r="22" spans="1:18" x14ac:dyDescent="0.2">
      <c r="A22" s="68" t="s">
        <v>0</v>
      </c>
      <c r="B22" s="33" t="s">
        <v>20</v>
      </c>
      <c r="C22" s="45">
        <v>93.146271767285114</v>
      </c>
      <c r="D22" s="45">
        <v>91.713342363079761</v>
      </c>
      <c r="E22" s="45">
        <v>91.20764609547652</v>
      </c>
      <c r="F22" s="45">
        <v>88.424742760906099</v>
      </c>
      <c r="G22" s="45">
        <v>82.171509913954026</v>
      </c>
      <c r="H22" s="46">
        <v>63.324009289723371</v>
      </c>
      <c r="I22" s="3"/>
      <c r="J22" s="3"/>
      <c r="K22" s="68" t="s">
        <v>0</v>
      </c>
      <c r="L22" s="33" t="s">
        <v>20</v>
      </c>
      <c r="M22" s="45">
        <v>3.8213503586191329</v>
      </c>
      <c r="N22" s="45">
        <v>4.1242995768693875</v>
      </c>
      <c r="O22" s="45">
        <v>4.6798487938941919</v>
      </c>
      <c r="P22" s="45">
        <v>4.7836736265642301</v>
      </c>
      <c r="Q22" s="45">
        <v>6.3840583139474214</v>
      </c>
      <c r="R22" s="46">
        <v>8.8574834729405616</v>
      </c>
    </row>
    <row r="23" spans="1:18" x14ac:dyDescent="0.2">
      <c r="A23" s="69"/>
      <c r="B23" s="60" t="s">
        <v>3</v>
      </c>
      <c r="C23" s="61">
        <v>93.289866713663798</v>
      </c>
      <c r="D23" s="61">
        <v>91.656975234412855</v>
      </c>
      <c r="E23" s="61">
        <v>90.929416615977615</v>
      </c>
      <c r="F23" s="61">
        <v>87.96200667569552</v>
      </c>
      <c r="G23" s="61">
        <v>81.511562594068209</v>
      </c>
      <c r="H23" s="47">
        <v>62.919273989851931</v>
      </c>
      <c r="I23" s="3"/>
      <c r="J23" s="3"/>
      <c r="K23" s="69"/>
      <c r="L23" s="60" t="s">
        <v>3</v>
      </c>
      <c r="M23" s="61">
        <v>3.6912230901689465</v>
      </c>
      <c r="N23" s="61">
        <v>4.1840633669140237</v>
      </c>
      <c r="O23" s="61">
        <v>4.3276080281122686</v>
      </c>
      <c r="P23" s="61">
        <v>4.62974538339971</v>
      </c>
      <c r="Q23" s="61">
        <v>6.8409581752509068</v>
      </c>
      <c r="R23" s="47">
        <v>8.9538644977058901</v>
      </c>
    </row>
    <row r="24" spans="1:18" x14ac:dyDescent="0.2">
      <c r="A24" s="69"/>
      <c r="B24" s="60" t="s">
        <v>4</v>
      </c>
      <c r="C24" s="61">
        <v>92.645713706516247</v>
      </c>
      <c r="D24" s="61">
        <v>91.491282034708405</v>
      </c>
      <c r="E24" s="61">
        <v>90.636618826147526</v>
      </c>
      <c r="F24" s="61">
        <v>86.502444524097967</v>
      </c>
      <c r="G24" s="61">
        <v>77.914178847216434</v>
      </c>
      <c r="H24" s="47">
        <v>60.161269962626164</v>
      </c>
      <c r="I24" s="3"/>
      <c r="J24" s="3"/>
      <c r="K24" s="69"/>
      <c r="L24" s="60" t="s">
        <v>4</v>
      </c>
      <c r="M24" s="61">
        <v>4.1316697428417823</v>
      </c>
      <c r="N24" s="61">
        <v>4.8848586638106175</v>
      </c>
      <c r="O24" s="61">
        <v>4.4808796898296315</v>
      </c>
      <c r="P24" s="61">
        <v>4.9901550420869221</v>
      </c>
      <c r="Q24" s="61">
        <v>6.4872193208216729</v>
      </c>
      <c r="R24" s="47">
        <v>9.8394827137291969</v>
      </c>
    </row>
    <row r="25" spans="1:18" ht="15" thickBot="1" x14ac:dyDescent="0.25">
      <c r="A25" s="70"/>
      <c r="B25" s="50" t="s">
        <v>22</v>
      </c>
      <c r="C25" s="48">
        <v>93.187285383594485</v>
      </c>
      <c r="D25" s="48">
        <v>91.928943473844853</v>
      </c>
      <c r="E25" s="48">
        <v>91.159701674192931</v>
      </c>
      <c r="F25" s="48">
        <v>88.543733954355687</v>
      </c>
      <c r="G25" s="48">
        <v>82.159880647539225</v>
      </c>
      <c r="H25" s="49">
        <v>63.568897246906197</v>
      </c>
      <c r="I25" s="3"/>
      <c r="J25" s="3"/>
      <c r="K25" s="70"/>
      <c r="L25" s="50" t="s">
        <v>22</v>
      </c>
      <c r="M25" s="48">
        <v>3.6039294529269359</v>
      </c>
      <c r="N25" s="48">
        <v>4.1148802989798945</v>
      </c>
      <c r="O25" s="48">
        <v>4.5682652724653803</v>
      </c>
      <c r="P25" s="48">
        <v>4.3282418606265329</v>
      </c>
      <c r="Q25" s="48">
        <v>6.1001669293415004</v>
      </c>
      <c r="R25" s="49">
        <v>9.4556967599084096</v>
      </c>
    </row>
  </sheetData>
  <mergeCells count="20">
    <mergeCell ref="A17:B17"/>
    <mergeCell ref="K17:L17"/>
    <mergeCell ref="A21:H21"/>
    <mergeCell ref="K21:R21"/>
    <mergeCell ref="A22:A25"/>
    <mergeCell ref="K22:K25"/>
    <mergeCell ref="A15:B15"/>
    <mergeCell ref="K15:L15"/>
    <mergeCell ref="A16:B16"/>
    <mergeCell ref="K16:L16"/>
    <mergeCell ref="A8:H8"/>
    <mergeCell ref="K8:R8"/>
    <mergeCell ref="A9:A12"/>
    <mergeCell ref="K9:K12"/>
    <mergeCell ref="A2:B2"/>
    <mergeCell ref="K2:L2"/>
    <mergeCell ref="A3:B3"/>
    <mergeCell ref="K3:L3"/>
    <mergeCell ref="A4:B4"/>
    <mergeCell ref="K4:L4"/>
  </mergeCells>
  <phoneticPr fontId="1" type="noConversion"/>
  <conditionalFormatting sqref="C2:H6 C9:H12">
    <cfRule type="colorScale" priority="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2:I6 I9:I12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554FB-5B0D-4464-AC52-A50C1124256F}">
  <dimension ref="A1:R47"/>
  <sheetViews>
    <sheetView zoomScaleNormal="100" workbookViewId="0"/>
  </sheetViews>
  <sheetFormatPr defaultRowHeight="14.25" x14ac:dyDescent="0.2"/>
  <cols>
    <col min="1" max="1" width="18.75" style="1" customWidth="1"/>
    <col min="2" max="2" width="15" style="1" customWidth="1"/>
    <col min="3" max="10" width="9" style="1"/>
    <col min="11" max="11" width="18.75" style="1" customWidth="1"/>
    <col min="12" max="12" width="15" style="1" customWidth="1"/>
    <col min="13" max="16384" width="9" style="1"/>
  </cols>
  <sheetData>
    <row r="1" spans="1:18" ht="15" thickBot="1" x14ac:dyDescent="0.25">
      <c r="A1" s="27" t="s">
        <v>13</v>
      </c>
      <c r="B1" s="24" t="s">
        <v>12</v>
      </c>
      <c r="C1" s="23">
        <v>1</v>
      </c>
      <c r="D1" s="25">
        <v>0.75</v>
      </c>
      <c r="E1" s="25">
        <v>0.5</v>
      </c>
      <c r="F1" s="25">
        <v>0.3</v>
      </c>
      <c r="G1" s="25">
        <v>0.2</v>
      </c>
      <c r="H1" s="24">
        <v>0.1</v>
      </c>
      <c r="I1" s="35" t="s">
        <v>6</v>
      </c>
      <c r="J1" s="36"/>
      <c r="K1" s="27" t="s">
        <v>14</v>
      </c>
      <c r="L1" s="24" t="s">
        <v>12</v>
      </c>
      <c r="M1" s="26">
        <v>1</v>
      </c>
      <c r="N1" s="28">
        <v>0.75</v>
      </c>
      <c r="O1" s="28">
        <v>0.5</v>
      </c>
      <c r="P1" s="28">
        <v>0.3</v>
      </c>
      <c r="Q1" s="28">
        <v>0.2</v>
      </c>
      <c r="R1" s="39">
        <v>0.1</v>
      </c>
    </row>
    <row r="2" spans="1:18" ht="15" thickBot="1" x14ac:dyDescent="0.25">
      <c r="A2" s="90" t="s">
        <v>18</v>
      </c>
      <c r="B2" s="91"/>
      <c r="C2" s="19">
        <v>93.273358766079312</v>
      </c>
      <c r="D2" s="20">
        <v>91.615587793435367</v>
      </c>
      <c r="E2" s="20">
        <v>90.62053304959386</v>
      </c>
      <c r="F2" s="20">
        <v>86.59751381932368</v>
      </c>
      <c r="G2" s="20">
        <v>78.22435026831262</v>
      </c>
      <c r="H2" s="21">
        <v>60.854992978601317</v>
      </c>
      <c r="I2" s="14" cm="1">
        <f t="array" ref="I2">-SUMPRODUCT((D1:H1-C1:G1)*(C2:G2+D2:H2)/2)</f>
        <v>78.807498478937248</v>
      </c>
      <c r="J2" s="15" t="str">
        <f>"    "&amp;_xlfn.TEXTJOIN(", ",TRUE,C2:H2)&amp;","</f>
        <v xml:space="preserve">    93.2733587660793, 91.6155877934354, 90.6205330495939, 86.5975138193237, 78.2243502683126, 60.8549929786013,</v>
      </c>
      <c r="K2" s="90" t="s">
        <v>18</v>
      </c>
      <c r="L2" s="92"/>
      <c r="M2" s="16">
        <v>3.4672469457762647</v>
      </c>
      <c r="N2" s="17">
        <v>4.1066373858138912</v>
      </c>
      <c r="O2" s="17">
        <v>4.4433442831389707</v>
      </c>
      <c r="P2" s="17">
        <v>4.8572661690244194</v>
      </c>
      <c r="Q2" s="17">
        <v>6.7334065011993722</v>
      </c>
      <c r="R2" s="18">
        <v>9.3055912140758643</v>
      </c>
    </row>
    <row r="3" spans="1:18" ht="15" thickBot="1" x14ac:dyDescent="0.25">
      <c r="A3" s="90" t="s">
        <v>7</v>
      </c>
      <c r="B3" s="92"/>
      <c r="C3" s="51">
        <v>90.893410265948106</v>
      </c>
      <c r="D3" s="52">
        <v>89.973085118960086</v>
      </c>
      <c r="E3" s="52">
        <v>89.832951265437714</v>
      </c>
      <c r="F3" s="52">
        <v>87.905310599572644</v>
      </c>
      <c r="G3" s="52">
        <v>83.195912882752722</v>
      </c>
      <c r="H3" s="53">
        <v>63.880722728281953</v>
      </c>
      <c r="I3" s="14" cm="1">
        <f t="array" ref="I3">-SUMPRODUCT((D1:H1-C1:G1)*(C3:G3+D3:H3)/2)</f>
        <v>78.766785612332285</v>
      </c>
      <c r="J3" s="15" t="str">
        <f t="shared" ref="J3:J6" si="0">"    "&amp;_xlfn.TEXTJOIN(", ",TRUE,C3:H3)&amp;","</f>
        <v xml:space="preserve">    90.8934102659481, 89.9730851189601, 89.8329512654377, 87.9053105995726, 83.1959128827527, 63.880722728282,</v>
      </c>
      <c r="K3" s="90" t="s">
        <v>7</v>
      </c>
      <c r="L3" s="92"/>
      <c r="M3" s="51">
        <v>4.1858185509949788</v>
      </c>
      <c r="N3" s="52">
        <v>4.4130201436485903</v>
      </c>
      <c r="O3" s="52">
        <v>4.2368316026763271</v>
      </c>
      <c r="P3" s="52">
        <v>4.694457927684021</v>
      </c>
      <c r="Q3" s="52">
        <v>7.8368728720764711</v>
      </c>
      <c r="R3" s="53">
        <v>8.6381314058036338</v>
      </c>
    </row>
    <row r="4" spans="1:18" ht="15" thickBot="1" x14ac:dyDescent="0.25">
      <c r="A4" s="90" t="s">
        <v>8</v>
      </c>
      <c r="B4" s="92"/>
      <c r="C4" s="51">
        <v>90.463709316977955</v>
      </c>
      <c r="D4" s="52">
        <v>90.577023445992864</v>
      </c>
      <c r="E4" s="52">
        <v>90.372621447129006</v>
      </c>
      <c r="F4" s="52">
        <v>89.211296522172901</v>
      </c>
      <c r="G4" s="52">
        <v>86.78711465208751</v>
      </c>
      <c r="H4" s="53">
        <v>73.465528825220517</v>
      </c>
      <c r="I4" s="14" cm="1">
        <f t="array" ref="I4">-SUMPRODUCT((D1:H1-C1:G1)*(C4:G4+D4:H4)/2)</f>
        <v>80.019741736520203</v>
      </c>
      <c r="J4" s="15" t="str">
        <f t="shared" si="0"/>
        <v xml:space="preserve">    90.463709316978, 90.5770234459929, 90.372621447129, 89.2112965221729, 86.7871146520875, 73.4655288252205,</v>
      </c>
      <c r="K4" s="90" t="s">
        <v>8</v>
      </c>
      <c r="L4" s="92"/>
      <c r="M4" s="51">
        <v>3.9440882069396319</v>
      </c>
      <c r="N4" s="52">
        <v>3.8360075261314579</v>
      </c>
      <c r="O4" s="52">
        <v>4.3136489141908232</v>
      </c>
      <c r="P4" s="52">
        <v>5.3428974773885027</v>
      </c>
      <c r="Q4" s="52">
        <v>6.5785355359776858</v>
      </c>
      <c r="R4" s="53">
        <v>6.5693655100985682</v>
      </c>
    </row>
    <row r="5" spans="1:18" ht="15" thickBot="1" x14ac:dyDescent="0.25">
      <c r="A5" s="34" t="s">
        <v>19</v>
      </c>
      <c r="B5" s="23" t="s">
        <v>5</v>
      </c>
      <c r="C5" s="51">
        <v>92.058157942542735</v>
      </c>
      <c r="D5" s="52">
        <v>90.887372151431521</v>
      </c>
      <c r="E5" s="52">
        <v>89.71185448547709</v>
      </c>
      <c r="F5" s="52">
        <v>83.037451304365376</v>
      </c>
      <c r="G5" s="52">
        <v>75.203931983263985</v>
      </c>
      <c r="H5" s="53">
        <v>63.465093411996079</v>
      </c>
      <c r="I5" s="14" cm="1">
        <f t="array" ref="I5">-SUMPRODUCT((D1:H1-C1:G1)*(C5:G5+D5:H5)/2)</f>
        <v>77.563545604489065</v>
      </c>
      <c r="J5" s="15" t="str">
        <f t="shared" si="0"/>
        <v xml:space="preserve">    92.0581579425427, 90.8873721514315, 89.7118544854771, 83.0374513043654, 75.203931983264, 63.4650934119961,</v>
      </c>
      <c r="K5" s="34" t="s">
        <v>19</v>
      </c>
      <c r="L5" s="23" t="s">
        <v>5</v>
      </c>
      <c r="M5" s="51">
        <v>3.9660226433904531</v>
      </c>
      <c r="N5" s="52">
        <v>4.6976837370546658</v>
      </c>
      <c r="O5" s="52">
        <v>4.5961497607487596</v>
      </c>
      <c r="P5" s="52">
        <v>6.0993717695614356</v>
      </c>
      <c r="Q5" s="52">
        <v>6.9392630555147701</v>
      </c>
      <c r="R5" s="53">
        <v>9.4804743920054477</v>
      </c>
    </row>
    <row r="6" spans="1:18" ht="15" customHeight="1" thickBot="1" x14ac:dyDescent="0.25">
      <c r="A6" s="34" t="s">
        <v>11</v>
      </c>
      <c r="B6" s="23" t="s">
        <v>5</v>
      </c>
      <c r="C6" s="51">
        <v>93.261553588987198</v>
      </c>
      <c r="D6" s="52">
        <v>92.262536873156336</v>
      </c>
      <c r="E6" s="52">
        <v>91.46343249797431</v>
      </c>
      <c r="F6" s="52">
        <v>88.488412529520147</v>
      </c>
      <c r="G6" s="52">
        <v>81.916677479908984</v>
      </c>
      <c r="H6" s="53">
        <v>65.789678111402338</v>
      </c>
      <c r="I6" s="14" cm="1">
        <f t="array" ref="I6">-SUMPRODUCT((D1:H1-C1:G1)*(C6:G6+D6:H6)/2)</f>
        <v>80.057014261945739</v>
      </c>
      <c r="J6" s="15" t="str">
        <f t="shared" si="0"/>
        <v xml:space="preserve">    93.2615535889872, 92.2625368731563, 91.4634324979743, 88.4884125295201, 81.916677479909, 65.7896781114023,</v>
      </c>
      <c r="K6" s="34" t="s">
        <v>11</v>
      </c>
      <c r="L6" s="23" t="s">
        <v>5</v>
      </c>
      <c r="M6" s="51">
        <v>3.7163590373389832</v>
      </c>
      <c r="N6" s="52">
        <v>3.6508096514884429</v>
      </c>
      <c r="O6" s="52">
        <v>4.1017435304866927</v>
      </c>
      <c r="P6" s="52">
        <v>4.2871155648061769</v>
      </c>
      <c r="Q6" s="52">
        <v>5.6468144906906579</v>
      </c>
      <c r="R6" s="53">
        <v>8.5322939368156661</v>
      </c>
    </row>
    <row r="7" spans="1:18" ht="15" thickBot="1" x14ac:dyDescent="0.25">
      <c r="A7" s="12"/>
      <c r="B7" s="13"/>
      <c r="C7" s="15"/>
      <c r="D7" s="15"/>
      <c r="E7" s="15"/>
      <c r="F7" s="15"/>
      <c r="G7" s="15"/>
      <c r="H7" s="22"/>
      <c r="I7" s="14"/>
      <c r="J7" s="15"/>
      <c r="K7" s="12"/>
      <c r="L7" s="13"/>
      <c r="M7" s="15"/>
      <c r="N7" s="15"/>
      <c r="O7" s="15"/>
      <c r="P7" s="15"/>
      <c r="Q7" s="15"/>
      <c r="R7" s="22"/>
    </row>
    <row r="8" spans="1:18" ht="30" customHeight="1" thickBot="1" x14ac:dyDescent="0.25">
      <c r="A8" s="84" t="s">
        <v>10</v>
      </c>
      <c r="B8" s="85"/>
      <c r="C8" s="85"/>
      <c r="D8" s="85"/>
      <c r="E8" s="85"/>
      <c r="F8" s="85"/>
      <c r="G8" s="85"/>
      <c r="H8" s="86"/>
      <c r="I8" s="14"/>
      <c r="J8" s="15"/>
      <c r="K8" s="84" t="s">
        <v>10</v>
      </c>
      <c r="L8" s="85"/>
      <c r="M8" s="85"/>
      <c r="N8" s="85"/>
      <c r="O8" s="85"/>
      <c r="P8" s="85"/>
      <c r="Q8" s="85"/>
      <c r="R8" s="86"/>
    </row>
    <row r="9" spans="1:18" x14ac:dyDescent="0.2">
      <c r="A9" s="81" t="s">
        <v>0</v>
      </c>
      <c r="B9" s="39" t="s">
        <v>20</v>
      </c>
      <c r="C9" s="40">
        <v>93.537862207573866</v>
      </c>
      <c r="D9" s="40">
        <v>92.113094980637072</v>
      </c>
      <c r="E9" s="40">
        <v>91.621447129012068</v>
      </c>
      <c r="F9" s="40">
        <v>88.877372064925595</v>
      </c>
      <c r="G9" s="40">
        <v>82.755514032705008</v>
      </c>
      <c r="H9" s="41">
        <v>64.344982799735888</v>
      </c>
      <c r="I9" s="14" cm="1">
        <f t="array" ref="I9">-SUMPRODUCT((D1:H1-C1:G1)*(C9:G9+D9:H9)/2)</f>
        <v>80.159738478129853</v>
      </c>
      <c r="J9" s="15" t="str">
        <f t="shared" ref="J9:J14" si="1">"    "&amp;_xlfn.TEXTJOIN(", ",TRUE,C9:H9)&amp;","</f>
        <v xml:space="preserve">    93.5378622075739, 92.1130949806371, 91.6214471290121, 88.8773720649256, 82.755514032705, 64.3449827997359,</v>
      </c>
      <c r="K9" s="81" t="s">
        <v>0</v>
      </c>
      <c r="L9" s="39" t="s">
        <v>20</v>
      </c>
      <c r="M9" s="40">
        <v>3.4495774358328521</v>
      </c>
      <c r="N9" s="40">
        <v>3.7981024643433421</v>
      </c>
      <c r="O9" s="40">
        <v>4.308673985590417</v>
      </c>
      <c r="P9" s="40">
        <v>4.6821927157620946</v>
      </c>
      <c r="Q9" s="40">
        <v>6.1649171977458499</v>
      </c>
      <c r="R9" s="41">
        <v>8.8218177351102298</v>
      </c>
    </row>
    <row r="10" spans="1:18" x14ac:dyDescent="0.2">
      <c r="A10" s="82"/>
      <c r="B10" s="58" t="s">
        <v>1</v>
      </c>
      <c r="C10" s="59">
        <v>93.348088362932785</v>
      </c>
      <c r="D10" s="59">
        <v>92.14568753478261</v>
      </c>
      <c r="E10" s="59">
        <v>91.280328261201774</v>
      </c>
      <c r="F10" s="59">
        <v>87.820947124686811</v>
      </c>
      <c r="G10" s="59">
        <v>81.242977880431482</v>
      </c>
      <c r="H10" s="42">
        <v>61.836036643915598</v>
      </c>
      <c r="I10" s="14" cm="1">
        <f t="array" ref="I10">-SUMPRODUCT((D1:H1-C1:G1)*(C10:G10+D10:H10)/2)</f>
        <v>79.632248476774606</v>
      </c>
      <c r="J10" s="15"/>
      <c r="K10" s="82"/>
      <c r="L10" s="58" t="s">
        <v>1</v>
      </c>
      <c r="M10" s="59">
        <v>3.515969963313101</v>
      </c>
      <c r="N10" s="59">
        <v>3.7824346618222831</v>
      </c>
      <c r="O10" s="59">
        <v>4.0618134218435991</v>
      </c>
      <c r="P10" s="59">
        <v>4.4512447046155676</v>
      </c>
      <c r="Q10" s="59">
        <v>6.1607401748690478</v>
      </c>
      <c r="R10" s="42">
        <v>9.0268239161300325</v>
      </c>
    </row>
    <row r="11" spans="1:18" x14ac:dyDescent="0.2">
      <c r="A11" s="82"/>
      <c r="B11" s="58" t="s">
        <v>21</v>
      </c>
      <c r="C11" s="59">
        <v>93.247793377682058</v>
      </c>
      <c r="D11" s="59">
        <v>91.88991830955861</v>
      </c>
      <c r="E11" s="59">
        <v>91.164266126869634</v>
      </c>
      <c r="F11" s="59">
        <v>87.037653151555517</v>
      </c>
      <c r="G11" s="59">
        <v>80.001695516397191</v>
      </c>
      <c r="H11" s="42">
        <v>62.17059259451495</v>
      </c>
      <c r="I11" s="14" cm="1">
        <f t="array" ref="I11">-SUMPRODUCT((D1:H1-C1:G1)*(C11:G11+D11:H11)/2)</f>
        <v>79.304760782244372</v>
      </c>
      <c r="J11" s="15"/>
      <c r="K11" s="82"/>
      <c r="L11" s="58" t="s">
        <v>21</v>
      </c>
      <c r="M11" s="59">
        <v>3.61592827834605</v>
      </c>
      <c r="N11" s="59">
        <v>4.0514638980435267</v>
      </c>
      <c r="O11" s="59">
        <v>3.9668676657326261</v>
      </c>
      <c r="P11" s="59">
        <v>4.5445134196317509</v>
      </c>
      <c r="Q11" s="59">
        <v>6.2176893290643189</v>
      </c>
      <c r="R11" s="42">
        <v>9.3787381841166528</v>
      </c>
    </row>
    <row r="12" spans="1:18" x14ac:dyDescent="0.2">
      <c r="A12" s="82"/>
      <c r="B12" s="58" t="s">
        <v>2</v>
      </c>
      <c r="C12" s="59">
        <v>92.82205440070129</v>
      </c>
      <c r="D12" s="59">
        <v>91.448763974313508</v>
      </c>
      <c r="E12" s="59">
        <v>90.355109761618465</v>
      </c>
      <c r="F12" s="59">
        <v>86.199791232334761</v>
      </c>
      <c r="G12" s="59">
        <v>75.960279356511151</v>
      </c>
      <c r="H12" s="42">
        <v>59.759455819975372</v>
      </c>
      <c r="I12" s="14" cm="1">
        <f t="array" ref="I12">-SUMPRODUCT((D1:H1-C1:G1)*(C12:G12+D12:H12)/2)</f>
        <v>78.308816901530292</v>
      </c>
      <c r="J12" s="15" t="str">
        <f t="shared" si="1"/>
        <v xml:space="preserve">    92.8220544007013, 91.4487639743135, 90.3551097616185, 86.1997912323348, 75.9602793565112, 59.7594558199754,</v>
      </c>
      <c r="K12" s="82"/>
      <c r="L12" s="58" t="s">
        <v>2</v>
      </c>
      <c r="M12" s="59">
        <v>3.6067505829902751</v>
      </c>
      <c r="N12" s="59">
        <v>4.4097713640806884</v>
      </c>
      <c r="O12" s="59">
        <v>4.5097251224755297</v>
      </c>
      <c r="P12" s="59">
        <v>4.5895356814114274</v>
      </c>
      <c r="Q12" s="59">
        <v>7.0897184370093269</v>
      </c>
      <c r="R12" s="42">
        <v>10.076406736336221</v>
      </c>
    </row>
    <row r="13" spans="1:18" x14ac:dyDescent="0.2">
      <c r="A13" s="82"/>
      <c r="B13" s="58" t="s">
        <v>3</v>
      </c>
      <c r="C13" s="59">
        <v>93.631268436578168</v>
      </c>
      <c r="D13" s="59">
        <v>92.061987272092892</v>
      </c>
      <c r="E13" s="59">
        <v>91.30385210944732</v>
      </c>
      <c r="F13" s="59">
        <v>88.420565921850525</v>
      </c>
      <c r="G13" s="59">
        <v>82.080090081517426</v>
      </c>
      <c r="H13" s="42">
        <v>63.820808715184967</v>
      </c>
      <c r="I13" s="14" cm="1">
        <f t="array" ref="I13">-SUMPRODUCT((D1:H1-C1:G1)*(C13:G13+D13:H13)/2)</f>
        <v>79.924906429409702</v>
      </c>
      <c r="J13" s="15" t="str">
        <f t="shared" si="1"/>
        <v xml:space="preserve">    93.6312684365782, 92.0619872720929, 91.3038521094473, 88.4205659218505, 82.0800900815174, 63.820808715185,</v>
      </c>
      <c r="K13" s="82"/>
      <c r="L13" s="58" t="s">
        <v>3</v>
      </c>
      <c r="M13" s="59">
        <v>3.3774918083626022</v>
      </c>
      <c r="N13" s="59">
        <v>3.8430128420147169</v>
      </c>
      <c r="O13" s="59">
        <v>4.0945118585739042</v>
      </c>
      <c r="P13" s="59">
        <v>4.4821098583039802</v>
      </c>
      <c r="Q13" s="59">
        <v>6.5622798997022</v>
      </c>
      <c r="R13" s="42">
        <v>8.7521755721562418</v>
      </c>
    </row>
    <row r="14" spans="1:18" x14ac:dyDescent="0.2">
      <c r="A14" s="82"/>
      <c r="B14" s="58" t="s">
        <v>4</v>
      </c>
      <c r="C14" s="59">
        <v>93.023621888309293</v>
      </c>
      <c r="D14" s="59">
        <v>91.919462971132958</v>
      </c>
      <c r="E14" s="59">
        <v>91.078783841844071</v>
      </c>
      <c r="F14" s="59">
        <v>86.99295553306402</v>
      </c>
      <c r="G14" s="59">
        <v>78.699760955256252</v>
      </c>
      <c r="H14" s="42">
        <v>61.317208626372199</v>
      </c>
      <c r="I14" s="14" cm="1">
        <f t="array" ref="I14">-SUMPRODUCT((D1:H1-C1:G1)*(C14:G14+D14:H14)/2)</f>
        <v>79.085324700040658</v>
      </c>
      <c r="J14" s="15" t="str">
        <f t="shared" si="1"/>
        <v xml:space="preserve">    93.0236218883093, 91.919462971133, 91.0787838418441, 86.992955533064, 78.6997609552563, 61.3172086263722,</v>
      </c>
      <c r="K14" s="82"/>
      <c r="L14" s="58" t="s">
        <v>4</v>
      </c>
      <c r="M14" s="59">
        <v>3.786969123021338</v>
      </c>
      <c r="N14" s="59">
        <v>4.5133212846792574</v>
      </c>
      <c r="O14" s="59">
        <v>4.1913609661175641</v>
      </c>
      <c r="P14" s="59">
        <v>4.7849174518298483</v>
      </c>
      <c r="Q14" s="59">
        <v>6.3195029388907873</v>
      </c>
      <c r="R14" s="42">
        <v>9.4996510959937055</v>
      </c>
    </row>
    <row r="15" spans="1:18" ht="15" thickBot="1" x14ac:dyDescent="0.25">
      <c r="A15" s="83"/>
      <c r="B15" s="57" t="s">
        <v>22</v>
      </c>
      <c r="C15" s="43">
        <v>93.599803343166187</v>
      </c>
      <c r="D15" s="43">
        <v>92.279264238156614</v>
      </c>
      <c r="E15" s="43">
        <v>91.59506570126041</v>
      </c>
      <c r="F15" s="43">
        <v>88.977505572424221</v>
      </c>
      <c r="G15" s="43">
        <v>82.90036822694546</v>
      </c>
      <c r="H15" s="44">
        <v>64.569301349204295</v>
      </c>
      <c r="I15" s="14" cm="1">
        <f t="array" ref="I15">-SUMPRODUCT((D1:H1-C1:G1)*(C15:G15+D15:H15)/2)</f>
        <v>80.2438089862369</v>
      </c>
      <c r="J15" s="15"/>
      <c r="K15" s="83"/>
      <c r="L15" s="57" t="s">
        <v>22</v>
      </c>
      <c r="M15" s="43">
        <v>3.243125348932931</v>
      </c>
      <c r="N15" s="43">
        <v>3.807558006198259</v>
      </c>
      <c r="O15" s="43">
        <v>4.1917811814501587</v>
      </c>
      <c r="P15" s="43">
        <v>4.1169089363556033</v>
      </c>
      <c r="Q15" s="43">
        <v>5.774765554208833</v>
      </c>
      <c r="R15" s="44">
        <v>9.1463899997089353</v>
      </c>
    </row>
    <row r="16" spans="1:18" ht="30" customHeight="1" thickBot="1" x14ac:dyDescent="0.25">
      <c r="A16" s="87" t="s">
        <v>9</v>
      </c>
      <c r="B16" s="88"/>
      <c r="C16" s="88"/>
      <c r="D16" s="88"/>
      <c r="E16" s="88"/>
      <c r="F16" s="88"/>
      <c r="G16" s="88"/>
      <c r="H16" s="89"/>
      <c r="I16" s="14"/>
      <c r="J16" s="15"/>
      <c r="K16" s="87" t="s">
        <v>9</v>
      </c>
      <c r="L16" s="88"/>
      <c r="M16" s="88"/>
      <c r="N16" s="88"/>
      <c r="O16" s="88"/>
      <c r="P16" s="88"/>
      <c r="Q16" s="88"/>
      <c r="R16" s="89"/>
    </row>
    <row r="17" spans="1:18" x14ac:dyDescent="0.2">
      <c r="A17" s="81" t="s">
        <v>0</v>
      </c>
      <c r="B17" s="39" t="s">
        <v>20</v>
      </c>
      <c r="C17" s="65">
        <v>91.687390606031769</v>
      </c>
      <c r="D17" s="40">
        <v>89.400542680588373</v>
      </c>
      <c r="E17" s="40">
        <v>90.049181509643986</v>
      </c>
      <c r="F17" s="40">
        <v>87.213153516322237</v>
      </c>
      <c r="G17" s="40">
        <v>77.082385372422479</v>
      </c>
      <c r="H17" s="41">
        <v>59.621026133444062</v>
      </c>
      <c r="I17" s="14" cm="1">
        <f t="array" ref="I17">-SUMPRODUCT((D1:H1-C1:G1)*(C17:G17+D17:H17)/2)</f>
        <v>77.843388206933753</v>
      </c>
      <c r="J17" s="15" t="str">
        <f t="shared" ref="J17:J20" si="2">"    "&amp;_xlfn.TEXTJOIN(", ",TRUE,C17:H17)&amp;","</f>
        <v xml:space="preserve">    91.6873906060318, 89.4005426805884, 90.049181509644, 87.2131535163222, 77.0823853724225, 59.6210261334441,</v>
      </c>
      <c r="K17" s="81" t="s">
        <v>0</v>
      </c>
      <c r="L17" s="39" t="s">
        <v>20</v>
      </c>
      <c r="M17" s="65">
        <v>3.6835480255470521</v>
      </c>
      <c r="N17" s="40">
        <v>3.5122729493253488</v>
      </c>
      <c r="O17" s="40">
        <v>3.9453493606067189</v>
      </c>
      <c r="P17" s="40">
        <v>4.1116351361808023</v>
      </c>
      <c r="Q17" s="40">
        <v>7.6102340629560423</v>
      </c>
      <c r="R17" s="41">
        <v>9.7199728601086619</v>
      </c>
    </row>
    <row r="18" spans="1:18" x14ac:dyDescent="0.2">
      <c r="A18" s="82"/>
      <c r="B18" s="58" t="s">
        <v>1</v>
      </c>
      <c r="C18" s="66">
        <v>92.54800070358165</v>
      </c>
      <c r="D18" s="59">
        <v>91.092555587274376</v>
      </c>
      <c r="E18" s="59">
        <v>90.321660798680512</v>
      </c>
      <c r="F18" s="59">
        <v>84.620126471682269</v>
      </c>
      <c r="G18" s="59">
        <v>70.150641441534972</v>
      </c>
      <c r="H18" s="42">
        <v>58.253863211042777</v>
      </c>
      <c r="I18" s="14" cm="1">
        <f t="array" ref="I18">-SUMPRODUCT((D1:H1-C1:G1)*(C18:G18+D18:H18)/2)</f>
        <v>77.28478893992741</v>
      </c>
      <c r="J18" s="15" t="str">
        <f t="shared" si="2"/>
        <v xml:space="preserve">    92.5480007035816, 91.0925555872744, 90.3216607986805, 84.6201264716823, 70.150641441535, 58.2538632110428,</v>
      </c>
      <c r="K18" s="82"/>
      <c r="L18" s="58" t="s">
        <v>1</v>
      </c>
      <c r="M18" s="66">
        <v>3.4597175321908402</v>
      </c>
      <c r="N18" s="59">
        <v>3.9457921241765548</v>
      </c>
      <c r="O18" s="59">
        <v>4.2803762462789319</v>
      </c>
      <c r="P18" s="59">
        <v>4.930323765640372</v>
      </c>
      <c r="Q18" s="59">
        <v>8.6710575618328996</v>
      </c>
      <c r="R18" s="42">
        <v>10.135441830124551</v>
      </c>
    </row>
    <row r="19" spans="1:18" x14ac:dyDescent="0.2">
      <c r="A19" s="82"/>
      <c r="B19" s="58" t="s">
        <v>21</v>
      </c>
      <c r="C19" s="66">
        <v>93.133743948188695</v>
      </c>
      <c r="D19" s="59">
        <v>91.65098602352387</v>
      </c>
      <c r="E19" s="59">
        <v>90.588125041450752</v>
      </c>
      <c r="F19" s="59">
        <v>84.925855759997916</v>
      </c>
      <c r="G19" s="59">
        <v>69.38212844978473</v>
      </c>
      <c r="H19" s="42">
        <v>57.893251671727263</v>
      </c>
      <c r="I19" s="14" cm="1">
        <f t="array" ref="I19">-SUMPRODUCT((D1:H1-C1:G1)*(C19:G19+D19:H19)/2)</f>
        <v>77.508546426295496</v>
      </c>
      <c r="J19" s="15" t="str">
        <f t="shared" si="2"/>
        <v xml:space="preserve">    93.1337439481887, 91.6509860235239, 90.5881250414508, 84.9258557599979, 69.3821284497847, 57.8932516717273,</v>
      </c>
      <c r="K19" s="82"/>
      <c r="L19" s="58" t="s">
        <v>21</v>
      </c>
      <c r="M19" s="66">
        <v>3.3917941204310198</v>
      </c>
      <c r="N19" s="59">
        <v>3.4957936335656079</v>
      </c>
      <c r="O19" s="59">
        <v>4.1737973892098186</v>
      </c>
      <c r="P19" s="59">
        <v>4.8957110384121174</v>
      </c>
      <c r="Q19" s="59">
        <v>8.9451348863715801</v>
      </c>
      <c r="R19" s="42">
        <v>9.0838735146144014</v>
      </c>
    </row>
    <row r="20" spans="1:18" x14ac:dyDescent="0.2">
      <c r="A20" s="82"/>
      <c r="B20" s="58" t="s">
        <v>2</v>
      </c>
      <c r="C20" s="66">
        <v>92.395286003050757</v>
      </c>
      <c r="D20" s="59">
        <v>91.237966303053383</v>
      </c>
      <c r="E20" s="59">
        <v>90.761061946902643</v>
      </c>
      <c r="F20" s="59">
        <v>88.434164655403592</v>
      </c>
      <c r="G20" s="59">
        <v>81.163239589731162</v>
      </c>
      <c r="H20" s="42">
        <v>61.863637805402021</v>
      </c>
      <c r="I20" s="14" cm="1">
        <f t="array" ref="I20">-SUMPRODUCT((D1:H1-C1:G1)*(C20:G20+D20:H20)/2)</f>
        <v>79.254771811751553</v>
      </c>
      <c r="J20" s="15" t="str">
        <f t="shared" si="2"/>
        <v xml:space="preserve">    92.3952860030508, 91.2379663030534, 90.7610619469026, 88.4341646554036, 81.1632395897312, 61.863637805402,</v>
      </c>
      <c r="K20" s="82"/>
      <c r="L20" s="58" t="s">
        <v>2</v>
      </c>
      <c r="M20" s="66">
        <v>3.2752551695907521</v>
      </c>
      <c r="N20" s="59">
        <v>3.3085249916984512</v>
      </c>
      <c r="O20" s="59">
        <v>3.4502969324411921</v>
      </c>
      <c r="P20" s="59">
        <v>3.5291822309352798</v>
      </c>
      <c r="Q20" s="59">
        <v>6.0429430001640414</v>
      </c>
      <c r="R20" s="42">
        <v>8.9037435702464318</v>
      </c>
    </row>
    <row r="21" spans="1:18" x14ac:dyDescent="0.2">
      <c r="A21" s="82"/>
      <c r="B21" s="58" t="s">
        <v>3</v>
      </c>
      <c r="C21" s="66">
        <v>92.588009700199279</v>
      </c>
      <c r="D21" s="59">
        <v>91.078795375969193</v>
      </c>
      <c r="E21" s="59">
        <v>90.087996724308439</v>
      </c>
      <c r="F21" s="59">
        <v>83.775041306585692</v>
      </c>
      <c r="G21" s="59">
        <v>69.061892115560397</v>
      </c>
      <c r="H21" s="42">
        <v>57.974163559661712</v>
      </c>
      <c r="I21" s="14" cm="1">
        <f t="array" ref="I21">-SUMPRODUCT((D1:H1-C1:G1)*(C21:G21+D21:H21)/2)</f>
        <v>76.984152905013588</v>
      </c>
      <c r="J21" s="15"/>
      <c r="K21" s="82"/>
      <c r="L21" s="58" t="s">
        <v>3</v>
      </c>
      <c r="M21" s="66">
        <v>3.588714973320712</v>
      </c>
      <c r="N21" s="59">
        <v>3.9520776283885319</v>
      </c>
      <c r="O21" s="59">
        <v>4.3175070586673954</v>
      </c>
      <c r="P21" s="59">
        <v>5.914481747817117</v>
      </c>
      <c r="Q21" s="59">
        <v>8.1449510095405095</v>
      </c>
      <c r="R21" s="42">
        <v>9.6647170325374745</v>
      </c>
    </row>
    <row r="22" spans="1:18" x14ac:dyDescent="0.2">
      <c r="A22" s="82"/>
      <c r="B22" s="58" t="s">
        <v>4</v>
      </c>
      <c r="C22" s="66">
        <v>92.881068752036498</v>
      </c>
      <c r="D22" s="59">
        <v>91.705049351637996</v>
      </c>
      <c r="E22" s="59">
        <v>90.538017918263435</v>
      </c>
      <c r="F22" s="59">
        <v>84.635541829946632</v>
      </c>
      <c r="G22" s="59">
        <v>69.543222692237833</v>
      </c>
      <c r="H22" s="42">
        <v>58.463945766543517</v>
      </c>
      <c r="I22" s="14" cm="1">
        <f t="array" ref="I22">-SUMPRODUCT((D1:H1-C1:G1)*(C22:G22+D22:H22)/2)</f>
        <v>77.480300795566279</v>
      </c>
      <c r="J22" s="15"/>
      <c r="K22" s="82"/>
      <c r="L22" s="58" t="s">
        <v>4</v>
      </c>
      <c r="M22" s="66">
        <v>3.5830309019067879</v>
      </c>
      <c r="N22" s="59">
        <v>3.83179147602918</v>
      </c>
      <c r="O22" s="59">
        <v>4.2031456821589268</v>
      </c>
      <c r="P22" s="59">
        <v>5.031965481421361</v>
      </c>
      <c r="Q22" s="59">
        <v>7.986600777951204</v>
      </c>
      <c r="R22" s="42">
        <v>9.6153782977895865</v>
      </c>
    </row>
    <row r="23" spans="1:18" ht="15" thickBot="1" x14ac:dyDescent="0.25">
      <c r="A23" s="83"/>
      <c r="B23" s="57" t="s">
        <v>22</v>
      </c>
      <c r="C23" s="67">
        <v>92.864324085848509</v>
      </c>
      <c r="D23" s="43">
        <v>91.264549577995183</v>
      </c>
      <c r="E23" s="43">
        <v>90.287280455136582</v>
      </c>
      <c r="F23" s="43">
        <v>83.915746099303064</v>
      </c>
      <c r="G23" s="43">
        <v>70.401799900229818</v>
      </c>
      <c r="H23" s="44">
        <v>57.716001003468882</v>
      </c>
      <c r="I23" s="14" cm="1">
        <f t="array" ref="I23">-SUMPRODUCT((D1:H1-C1:G1)*(C23:G23+D23:H23)/2)</f>
        <v>77.252157962727466</v>
      </c>
      <c r="J23" s="15"/>
      <c r="K23" s="83"/>
      <c r="L23" s="57" t="s">
        <v>22</v>
      </c>
      <c r="M23" s="67">
        <v>3.5044298074021798</v>
      </c>
      <c r="N23" s="43">
        <v>4.1154658363082204</v>
      </c>
      <c r="O23" s="43">
        <v>4.3485159116923704</v>
      </c>
      <c r="P23" s="43">
        <v>5.7625655433078284</v>
      </c>
      <c r="Q23" s="43">
        <v>8.6519610476429456</v>
      </c>
      <c r="R23" s="44">
        <v>9.9055533965171794</v>
      </c>
    </row>
    <row r="24" spans="1:18" ht="15" thickBot="1" x14ac:dyDescent="0.25"/>
    <row r="25" spans="1:18" ht="15" thickBot="1" x14ac:dyDescent="0.25">
      <c r="A25" s="38" t="s">
        <v>16</v>
      </c>
      <c r="B25" s="30" t="s">
        <v>15</v>
      </c>
      <c r="C25" s="31">
        <v>1</v>
      </c>
      <c r="D25" s="31">
        <v>0.75</v>
      </c>
      <c r="E25" s="31">
        <v>0.5</v>
      </c>
      <c r="F25" s="31">
        <v>0.3</v>
      </c>
      <c r="G25" s="31">
        <v>0.2</v>
      </c>
      <c r="H25" s="30">
        <v>0.1</v>
      </c>
      <c r="I25" s="2"/>
      <c r="J25" s="3"/>
      <c r="K25" s="38" t="s">
        <v>17</v>
      </c>
      <c r="L25" s="30" t="s">
        <v>15</v>
      </c>
      <c r="M25" s="32">
        <v>1</v>
      </c>
      <c r="N25" s="32">
        <v>0.75</v>
      </c>
      <c r="O25" s="32">
        <v>0.5</v>
      </c>
      <c r="P25" s="32">
        <v>0.3</v>
      </c>
      <c r="Q25" s="32">
        <v>0.2</v>
      </c>
      <c r="R25" s="33">
        <v>0.1</v>
      </c>
    </row>
    <row r="26" spans="1:18" ht="15" thickBot="1" x14ac:dyDescent="0.25">
      <c r="A26" s="71" t="s">
        <v>18</v>
      </c>
      <c r="B26" s="72"/>
      <c r="C26" s="4">
        <v>92.866950218042462</v>
      </c>
      <c r="D26" s="5">
        <v>91.242690764745561</v>
      </c>
      <c r="E26" s="5">
        <v>90.137053227698445</v>
      </c>
      <c r="F26" s="5">
        <v>86.080152926613408</v>
      </c>
      <c r="G26" s="5">
        <v>77.410217255196784</v>
      </c>
      <c r="H26" s="6">
        <v>59.676194764980139</v>
      </c>
      <c r="I26" s="3"/>
      <c r="J26" s="3"/>
      <c r="K26" s="71" t="s">
        <v>18</v>
      </c>
      <c r="L26" s="72"/>
      <c r="M26" s="4">
        <v>3.8319643020864191</v>
      </c>
      <c r="N26" s="5">
        <v>4.3603246705255447</v>
      </c>
      <c r="O26" s="5">
        <v>4.7987735191879262</v>
      </c>
      <c r="P26" s="5">
        <v>5.1262965367330251</v>
      </c>
      <c r="Q26" s="5">
        <v>7.087258799823358</v>
      </c>
      <c r="R26" s="6">
        <v>9.7457736576346736</v>
      </c>
    </row>
    <row r="27" spans="1:18" ht="15" thickBot="1" x14ac:dyDescent="0.25">
      <c r="A27" s="73" t="s">
        <v>7</v>
      </c>
      <c r="B27" s="74"/>
      <c r="C27" s="54">
        <v>90.167004245429965</v>
      </c>
      <c r="D27" s="55">
        <v>89.286886961516899</v>
      </c>
      <c r="E27" s="55">
        <v>89.168853181192915</v>
      </c>
      <c r="F27" s="55">
        <v>87.327130630050405</v>
      </c>
      <c r="G27" s="55">
        <v>82.443797164732089</v>
      </c>
      <c r="H27" s="56">
        <v>62.88633221353097</v>
      </c>
      <c r="I27" s="3"/>
      <c r="J27" s="3"/>
      <c r="K27" s="73" t="s">
        <v>7</v>
      </c>
      <c r="L27" s="74"/>
      <c r="M27" s="54">
        <v>4.692442706964763</v>
      </c>
      <c r="N27" s="55">
        <v>4.9142494256914979</v>
      </c>
      <c r="O27" s="55">
        <v>4.8450623502747883</v>
      </c>
      <c r="P27" s="55">
        <v>5.0292220586155425</v>
      </c>
      <c r="Q27" s="55">
        <v>8.5304375015497467</v>
      </c>
      <c r="R27" s="56">
        <v>9.2372323757488175</v>
      </c>
    </row>
    <row r="28" spans="1:18" ht="15" thickBot="1" x14ac:dyDescent="0.25">
      <c r="A28" s="73" t="s">
        <v>8</v>
      </c>
      <c r="B28" s="74"/>
      <c r="C28" s="54">
        <v>89.76392584000024</v>
      </c>
      <c r="D28" s="55">
        <v>89.945902653994779</v>
      </c>
      <c r="E28" s="55">
        <v>89.722896114142074</v>
      </c>
      <c r="F28" s="55">
        <v>88.447274371220459</v>
      </c>
      <c r="G28" s="55">
        <v>86.026761261405397</v>
      </c>
      <c r="H28" s="56">
        <v>72.601697213017559</v>
      </c>
      <c r="I28" s="3"/>
      <c r="J28" s="3"/>
      <c r="K28" s="73" t="s">
        <v>8</v>
      </c>
      <c r="L28" s="74"/>
      <c r="M28" s="54">
        <v>4.27043932552135</v>
      </c>
      <c r="N28" s="55">
        <v>4.2214545403819388</v>
      </c>
      <c r="O28" s="55">
        <v>4.6925158434842702</v>
      </c>
      <c r="P28" s="55">
        <v>5.9595707783623313</v>
      </c>
      <c r="Q28" s="55">
        <v>7.276461425035877</v>
      </c>
      <c r="R28" s="56">
        <v>7.1503983057801017</v>
      </c>
    </row>
    <row r="29" spans="1:18" ht="15" thickBot="1" x14ac:dyDescent="0.25">
      <c r="A29" s="37" t="s">
        <v>19</v>
      </c>
      <c r="B29" s="29" t="s">
        <v>5</v>
      </c>
      <c r="C29" s="54">
        <v>91.619678222782014</v>
      </c>
      <c r="D29" s="55">
        <v>90.477642868273122</v>
      </c>
      <c r="E29" s="55">
        <v>89.249726325934745</v>
      </c>
      <c r="F29" s="55">
        <v>82.414109622100952</v>
      </c>
      <c r="G29" s="55">
        <v>73.966347771076229</v>
      </c>
      <c r="H29" s="56">
        <v>61.982668241276919</v>
      </c>
      <c r="I29" s="3"/>
      <c r="J29" s="3"/>
      <c r="K29" s="37" t="s">
        <v>19</v>
      </c>
      <c r="L29" s="29" t="s">
        <v>5</v>
      </c>
      <c r="M29" s="54">
        <v>4.3157793090661869</v>
      </c>
      <c r="N29" s="55">
        <v>5.0082047971697463</v>
      </c>
      <c r="O29" s="55">
        <v>4.9157360154303626</v>
      </c>
      <c r="P29" s="55">
        <v>6.4607594421800485</v>
      </c>
      <c r="Q29" s="55">
        <v>7.5277360194716394</v>
      </c>
      <c r="R29" s="56">
        <v>10.23873481281947</v>
      </c>
    </row>
    <row r="30" spans="1:18" ht="15" thickBot="1" x14ac:dyDescent="0.25">
      <c r="A30" s="37" t="s">
        <v>11</v>
      </c>
      <c r="B30" s="29" t="s">
        <v>5</v>
      </c>
      <c r="C30" s="54">
        <v>92.820569160063698</v>
      </c>
      <c r="D30" s="55">
        <v>91.929513718185461</v>
      </c>
      <c r="E30" s="55">
        <v>91.068600617887512</v>
      </c>
      <c r="F30" s="55">
        <v>87.835824294740178</v>
      </c>
      <c r="G30" s="55">
        <v>81.288152020281487</v>
      </c>
      <c r="H30" s="56">
        <v>64.755290224104485</v>
      </c>
      <c r="I30" s="3"/>
      <c r="J30" s="3"/>
      <c r="K30" s="37" t="s">
        <v>11</v>
      </c>
      <c r="L30" s="29" t="s">
        <v>5</v>
      </c>
      <c r="M30" s="54">
        <v>4.1253708288557123</v>
      </c>
      <c r="N30" s="55">
        <v>3.9018411344898576</v>
      </c>
      <c r="O30" s="55">
        <v>4.3926416144774469</v>
      </c>
      <c r="P30" s="55">
        <v>4.6814475030684104</v>
      </c>
      <c r="Q30" s="55">
        <v>5.9529949247341838</v>
      </c>
      <c r="R30" s="56">
        <v>8.9582590287372614</v>
      </c>
    </row>
    <row r="31" spans="1:18" ht="15" thickBot="1" x14ac:dyDescent="0.25">
      <c r="A31" s="7"/>
      <c r="B31" s="8"/>
      <c r="C31" s="9"/>
      <c r="D31" s="9"/>
      <c r="E31" s="9"/>
      <c r="F31" s="9"/>
      <c r="G31" s="9"/>
      <c r="H31" s="10"/>
      <c r="I31" s="11"/>
      <c r="J31" s="3"/>
      <c r="K31" s="7"/>
      <c r="L31" s="8"/>
      <c r="M31" s="9"/>
      <c r="N31" s="9"/>
      <c r="O31" s="9"/>
      <c r="P31" s="9"/>
      <c r="Q31" s="9"/>
      <c r="R31" s="10"/>
    </row>
    <row r="32" spans="1:18" ht="15" thickBot="1" x14ac:dyDescent="0.25">
      <c r="A32" s="78" t="s">
        <v>10</v>
      </c>
      <c r="B32" s="79"/>
      <c r="C32" s="79"/>
      <c r="D32" s="79"/>
      <c r="E32" s="79"/>
      <c r="F32" s="79"/>
      <c r="G32" s="79"/>
      <c r="H32" s="80"/>
      <c r="I32" s="2"/>
      <c r="J32" s="3"/>
      <c r="K32" s="78" t="s">
        <v>10</v>
      </c>
      <c r="L32" s="79"/>
      <c r="M32" s="79"/>
      <c r="N32" s="79"/>
      <c r="O32" s="79"/>
      <c r="P32" s="79"/>
      <c r="Q32" s="79"/>
      <c r="R32" s="80"/>
    </row>
    <row r="33" spans="1:18" x14ac:dyDescent="0.2">
      <c r="A33" s="68" t="s">
        <v>0</v>
      </c>
      <c r="B33" s="33" t="s">
        <v>20</v>
      </c>
      <c r="C33" s="45">
        <v>93.146271767285114</v>
      </c>
      <c r="D33" s="45">
        <v>91.713342363079761</v>
      </c>
      <c r="E33" s="45">
        <v>91.20764609547652</v>
      </c>
      <c r="F33" s="45">
        <v>88.424742760906099</v>
      </c>
      <c r="G33" s="45">
        <v>82.171509913954026</v>
      </c>
      <c r="H33" s="46">
        <v>63.324009289723371</v>
      </c>
      <c r="I33" s="3"/>
      <c r="J33" s="3"/>
      <c r="K33" s="68" t="s">
        <v>0</v>
      </c>
      <c r="L33" s="33" t="s">
        <v>20</v>
      </c>
      <c r="M33" s="45">
        <v>3.8213503586191329</v>
      </c>
      <c r="N33" s="45">
        <v>4.1242995768693875</v>
      </c>
      <c r="O33" s="45">
        <v>4.6798487938941919</v>
      </c>
      <c r="P33" s="45">
        <v>4.7836736265642301</v>
      </c>
      <c r="Q33" s="45">
        <v>6.3840583139474214</v>
      </c>
      <c r="R33" s="46">
        <v>8.8574834729405616</v>
      </c>
    </row>
    <row r="34" spans="1:18" x14ac:dyDescent="0.2">
      <c r="A34" s="69"/>
      <c r="B34" s="60" t="s">
        <v>1</v>
      </c>
      <c r="C34" s="61">
        <v>92.954438397598011</v>
      </c>
      <c r="D34" s="61">
        <v>91.79677761565388</v>
      </c>
      <c r="E34" s="61">
        <v>90.874273013720625</v>
      </c>
      <c r="F34" s="61">
        <v>87.344898024474759</v>
      </c>
      <c r="G34" s="61">
        <v>80.64496908069151</v>
      </c>
      <c r="H34" s="47">
        <v>60.453796206042512</v>
      </c>
      <c r="I34" s="3"/>
      <c r="J34" s="3"/>
      <c r="K34" s="69"/>
      <c r="L34" s="60" t="s">
        <v>1</v>
      </c>
      <c r="M34" s="61">
        <v>3.9025815699257698</v>
      </c>
      <c r="N34" s="61">
        <v>4.0081378622538661</v>
      </c>
      <c r="O34" s="61">
        <v>4.412315551214042</v>
      </c>
      <c r="P34" s="61">
        <v>4.6631000442116752</v>
      </c>
      <c r="Q34" s="61">
        <v>6.3498168046115788</v>
      </c>
      <c r="R34" s="47">
        <v>9.4090767809819251</v>
      </c>
    </row>
    <row r="35" spans="1:18" x14ac:dyDescent="0.2">
      <c r="A35" s="69"/>
      <c r="B35" s="60" t="s">
        <v>21</v>
      </c>
      <c r="C35" s="61">
        <v>92.873800090473907</v>
      </c>
      <c r="D35" s="61">
        <v>91.456438351098726</v>
      </c>
      <c r="E35" s="61">
        <v>90.752553900189042</v>
      </c>
      <c r="F35" s="61">
        <v>86.528335718454059</v>
      </c>
      <c r="G35" s="61">
        <v>79.336782636235938</v>
      </c>
      <c r="H35" s="47">
        <v>61.030311944043291</v>
      </c>
      <c r="I35" s="3"/>
      <c r="J35" s="3"/>
      <c r="K35" s="69"/>
      <c r="L35" s="60" t="s">
        <v>21</v>
      </c>
      <c r="M35" s="61">
        <v>4.0172501853034248</v>
      </c>
      <c r="N35" s="61">
        <v>4.3548175366963191</v>
      </c>
      <c r="O35" s="61">
        <v>4.2590019427429633</v>
      </c>
      <c r="P35" s="61">
        <v>4.7086603757691332</v>
      </c>
      <c r="Q35" s="61">
        <v>6.4237227950993718</v>
      </c>
      <c r="R35" s="47">
        <v>9.790035816495168</v>
      </c>
    </row>
    <row r="36" spans="1:18" x14ac:dyDescent="0.2">
      <c r="A36" s="69"/>
      <c r="B36" s="60" t="s">
        <v>2</v>
      </c>
      <c r="C36" s="61">
        <v>92.34242253792462</v>
      </c>
      <c r="D36" s="61">
        <v>91.09644580168748</v>
      </c>
      <c r="E36" s="61">
        <v>89.898062791723106</v>
      </c>
      <c r="F36" s="61">
        <v>85.659452815553763</v>
      </c>
      <c r="G36" s="61">
        <v>75.066362890423832</v>
      </c>
      <c r="H36" s="47">
        <v>58.294994959298009</v>
      </c>
      <c r="I36" s="3"/>
      <c r="J36" s="3"/>
      <c r="K36" s="69"/>
      <c r="L36" s="60" t="s">
        <v>2</v>
      </c>
      <c r="M36" s="61">
        <v>3.9850647662856629</v>
      </c>
      <c r="N36" s="61">
        <v>4.6887967583822769</v>
      </c>
      <c r="O36" s="61">
        <v>4.7851296478648919</v>
      </c>
      <c r="P36" s="61">
        <v>4.9115367128632474</v>
      </c>
      <c r="Q36" s="61">
        <v>7.4009818401816672</v>
      </c>
      <c r="R36" s="47">
        <v>10.56092255283823</v>
      </c>
    </row>
    <row r="37" spans="1:18" x14ac:dyDescent="0.2">
      <c r="A37" s="69"/>
      <c r="B37" s="60" t="s">
        <v>3</v>
      </c>
      <c r="C37" s="61">
        <v>93.289866713663798</v>
      </c>
      <c r="D37" s="61">
        <v>91.656975234412855</v>
      </c>
      <c r="E37" s="61">
        <v>90.929416615977615</v>
      </c>
      <c r="F37" s="61">
        <v>87.96200667569552</v>
      </c>
      <c r="G37" s="61">
        <v>81.511562594068209</v>
      </c>
      <c r="H37" s="47">
        <v>62.919273989851931</v>
      </c>
      <c r="I37" s="3"/>
      <c r="J37" s="3"/>
      <c r="K37" s="69"/>
      <c r="L37" s="60" t="s">
        <v>3</v>
      </c>
      <c r="M37" s="61">
        <v>3.6912230901689465</v>
      </c>
      <c r="N37" s="61">
        <v>4.1840633669140237</v>
      </c>
      <c r="O37" s="61">
        <v>4.3276080281122686</v>
      </c>
      <c r="P37" s="61">
        <v>4.62974538339971</v>
      </c>
      <c r="Q37" s="61">
        <v>6.8409581752509068</v>
      </c>
      <c r="R37" s="47">
        <v>8.9538644977058901</v>
      </c>
    </row>
    <row r="38" spans="1:18" x14ac:dyDescent="0.2">
      <c r="A38" s="69"/>
      <c r="B38" s="60" t="s">
        <v>4</v>
      </c>
      <c r="C38" s="61">
        <v>92.645713706516247</v>
      </c>
      <c r="D38" s="61">
        <v>91.491282034708405</v>
      </c>
      <c r="E38" s="61">
        <v>90.636618826147526</v>
      </c>
      <c r="F38" s="61">
        <v>86.502444524097967</v>
      </c>
      <c r="G38" s="61">
        <v>77.914178847216434</v>
      </c>
      <c r="H38" s="47">
        <v>60.161269962626164</v>
      </c>
      <c r="I38" s="3"/>
      <c r="J38" s="3"/>
      <c r="K38" s="69"/>
      <c r="L38" s="60" t="s">
        <v>4</v>
      </c>
      <c r="M38" s="61">
        <v>4.1316697428417823</v>
      </c>
      <c r="N38" s="61">
        <v>4.8848586638106175</v>
      </c>
      <c r="O38" s="61">
        <v>4.4808796898296315</v>
      </c>
      <c r="P38" s="61">
        <v>4.9901550420869221</v>
      </c>
      <c r="Q38" s="61">
        <v>6.4872193208216729</v>
      </c>
      <c r="R38" s="47">
        <v>9.8394827137291969</v>
      </c>
    </row>
    <row r="39" spans="1:18" ht="15" thickBot="1" x14ac:dyDescent="0.25">
      <c r="A39" s="70"/>
      <c r="B39" s="50" t="s">
        <v>22</v>
      </c>
      <c r="C39" s="48">
        <v>93.187285383594485</v>
      </c>
      <c r="D39" s="48">
        <v>91.928943473844853</v>
      </c>
      <c r="E39" s="48">
        <v>91.159701674192931</v>
      </c>
      <c r="F39" s="48">
        <v>88.543733954355687</v>
      </c>
      <c r="G39" s="48">
        <v>82.159880647539225</v>
      </c>
      <c r="H39" s="49">
        <v>63.568897246906197</v>
      </c>
      <c r="I39" s="3"/>
      <c r="J39" s="3"/>
      <c r="K39" s="70"/>
      <c r="L39" s="50" t="s">
        <v>22</v>
      </c>
      <c r="M39" s="48">
        <v>3.6039294529269359</v>
      </c>
      <c r="N39" s="48">
        <v>4.1148802989798945</v>
      </c>
      <c r="O39" s="48">
        <v>4.5682652724653803</v>
      </c>
      <c r="P39" s="48">
        <v>4.3282418606265329</v>
      </c>
      <c r="Q39" s="48">
        <v>6.1001669293415004</v>
      </c>
      <c r="R39" s="49">
        <v>9.4556967599084096</v>
      </c>
    </row>
    <row r="40" spans="1:18" ht="14.25" customHeight="1" thickBot="1" x14ac:dyDescent="0.25">
      <c r="A40" s="75" t="s">
        <v>9</v>
      </c>
      <c r="B40" s="76"/>
      <c r="C40" s="76"/>
      <c r="D40" s="76"/>
      <c r="E40" s="76"/>
      <c r="F40" s="76"/>
      <c r="G40" s="76"/>
      <c r="H40" s="77"/>
      <c r="I40" s="2"/>
      <c r="J40" s="3"/>
      <c r="K40" s="75" t="s">
        <v>9</v>
      </c>
      <c r="L40" s="76"/>
      <c r="M40" s="76"/>
      <c r="N40" s="76"/>
      <c r="O40" s="76"/>
      <c r="P40" s="76"/>
      <c r="Q40" s="76"/>
      <c r="R40" s="77"/>
    </row>
    <row r="41" spans="1:18" ht="14.25" customHeight="1" x14ac:dyDescent="0.2">
      <c r="A41" s="68" t="s">
        <v>0</v>
      </c>
      <c r="B41" s="33" t="s">
        <v>20</v>
      </c>
      <c r="C41" s="62">
        <v>91.20233156737153</v>
      </c>
      <c r="D41" s="45">
        <v>88.858995555292182</v>
      </c>
      <c r="E41" s="45">
        <v>89.644708204232714</v>
      </c>
      <c r="F41" s="45">
        <v>86.888558589739716</v>
      </c>
      <c r="G41" s="45">
        <v>76.230696227592929</v>
      </c>
      <c r="H41" s="46">
        <v>58.048272708688451</v>
      </c>
      <c r="I41" s="3"/>
      <c r="J41" s="3"/>
      <c r="K41" s="68" t="s">
        <v>0</v>
      </c>
      <c r="L41" s="33" t="s">
        <v>20</v>
      </c>
      <c r="M41" s="62">
        <v>4.0326789520392543</v>
      </c>
      <c r="N41" s="45">
        <v>3.8059302623912759</v>
      </c>
      <c r="O41" s="45">
        <v>4.1950084680344206</v>
      </c>
      <c r="P41" s="45">
        <v>4.2562865976507966</v>
      </c>
      <c r="Q41" s="45">
        <v>8.05047061069134</v>
      </c>
      <c r="R41" s="46">
        <v>10.39256961703137</v>
      </c>
    </row>
    <row r="42" spans="1:18" ht="14.25" customHeight="1" x14ac:dyDescent="0.2">
      <c r="A42" s="69"/>
      <c r="B42" s="60" t="s">
        <v>1</v>
      </c>
      <c r="C42" s="63">
        <v>92.105605640396107</v>
      </c>
      <c r="D42" s="61">
        <v>90.594980214531063</v>
      </c>
      <c r="E42" s="61">
        <v>89.787120917968522</v>
      </c>
      <c r="F42" s="61">
        <v>84.068059194881656</v>
      </c>
      <c r="G42" s="61">
        <v>68.819650211648636</v>
      </c>
      <c r="H42" s="47">
        <v>56.70208786836389</v>
      </c>
      <c r="I42" s="3"/>
      <c r="J42" s="3"/>
      <c r="K42" s="69"/>
      <c r="L42" s="60" t="s">
        <v>1</v>
      </c>
      <c r="M42" s="63">
        <v>3.8143147559868238</v>
      </c>
      <c r="N42" s="61">
        <v>4.332225921769199</v>
      </c>
      <c r="O42" s="61">
        <v>4.6601623104943277</v>
      </c>
      <c r="P42" s="61">
        <v>5.1622849955470551</v>
      </c>
      <c r="Q42" s="61">
        <v>9.1436863037788996</v>
      </c>
      <c r="R42" s="47">
        <v>10.65005745691481</v>
      </c>
    </row>
    <row r="43" spans="1:18" ht="14.25" customHeight="1" x14ac:dyDescent="0.2">
      <c r="A43" s="69"/>
      <c r="B43" s="60" t="s">
        <v>21</v>
      </c>
      <c r="C43" s="63">
        <v>92.735787567266144</v>
      </c>
      <c r="D43" s="61">
        <v>91.272424907322758</v>
      </c>
      <c r="E43" s="61">
        <v>90.136369756394359</v>
      </c>
      <c r="F43" s="61">
        <v>84.306346506775611</v>
      </c>
      <c r="G43" s="61">
        <v>68.075906425079367</v>
      </c>
      <c r="H43" s="47">
        <v>56.374344915410589</v>
      </c>
      <c r="I43" s="3"/>
      <c r="J43" s="3"/>
      <c r="K43" s="69"/>
      <c r="L43" s="60" t="s">
        <v>21</v>
      </c>
      <c r="M43" s="63">
        <v>3.7507573910239498</v>
      </c>
      <c r="N43" s="61">
        <v>3.7676541893637152</v>
      </c>
      <c r="O43" s="61">
        <v>4.5273552948301683</v>
      </c>
      <c r="P43" s="61">
        <v>5.2294481365034207</v>
      </c>
      <c r="Q43" s="61">
        <v>9.4149124495764251</v>
      </c>
      <c r="R43" s="47">
        <v>9.4536677346388931</v>
      </c>
    </row>
    <row r="44" spans="1:18" ht="14.25" customHeight="1" x14ac:dyDescent="0.2">
      <c r="A44" s="69"/>
      <c r="B44" s="60" t="s">
        <v>2</v>
      </c>
      <c r="C44" s="63">
        <v>91.950874518137169</v>
      </c>
      <c r="D44" s="61">
        <v>90.860470576749606</v>
      </c>
      <c r="E44" s="61">
        <v>90.490386936582297</v>
      </c>
      <c r="F44" s="61">
        <v>88.049384959654063</v>
      </c>
      <c r="G44" s="61">
        <v>80.468669646321288</v>
      </c>
      <c r="H44" s="47">
        <v>60.71617802038044</v>
      </c>
      <c r="I44" s="3"/>
      <c r="J44" s="3"/>
      <c r="K44" s="69"/>
      <c r="L44" s="60" t="s">
        <v>2</v>
      </c>
      <c r="M44" s="63">
        <v>3.5958512795844095</v>
      </c>
      <c r="N44" s="61">
        <v>3.5036851030907119</v>
      </c>
      <c r="O44" s="61">
        <v>3.6728000228010518</v>
      </c>
      <c r="P44" s="61">
        <v>3.7252058502449592</v>
      </c>
      <c r="Q44" s="61">
        <v>6.4427329239605671</v>
      </c>
      <c r="R44" s="47">
        <v>9.1624885776997722</v>
      </c>
    </row>
    <row r="45" spans="1:18" x14ac:dyDescent="0.2">
      <c r="A45" s="69"/>
      <c r="B45" s="60" t="s">
        <v>3</v>
      </c>
      <c r="C45" s="63">
        <v>92.138275776076213</v>
      </c>
      <c r="D45" s="61">
        <v>90.639413324329425</v>
      </c>
      <c r="E45" s="61">
        <v>89.641995059935681</v>
      </c>
      <c r="F45" s="61">
        <v>83.008045484467729</v>
      </c>
      <c r="G45" s="61">
        <v>67.732344493257614</v>
      </c>
      <c r="H45" s="47">
        <v>56.304271435094797</v>
      </c>
      <c r="I45" s="3"/>
      <c r="J45" s="3"/>
      <c r="K45" s="69"/>
      <c r="L45" s="60" t="s">
        <v>3</v>
      </c>
      <c r="M45" s="63">
        <v>3.9794419865005448</v>
      </c>
      <c r="N45" s="61">
        <v>4.253450878335741</v>
      </c>
      <c r="O45" s="61">
        <v>4.6079069175159564</v>
      </c>
      <c r="P45" s="61">
        <v>6.4183241895831289</v>
      </c>
      <c r="Q45" s="61">
        <v>8.5916859011060502</v>
      </c>
      <c r="R45" s="47">
        <v>10.014815792560331</v>
      </c>
    </row>
    <row r="46" spans="1:18" x14ac:dyDescent="0.2">
      <c r="A46" s="69"/>
      <c r="B46" s="60" t="s">
        <v>4</v>
      </c>
      <c r="C46" s="63">
        <v>92.420523740183427</v>
      </c>
      <c r="D46" s="61">
        <v>91.326721336914972</v>
      </c>
      <c r="E46" s="61">
        <v>90.108489044235867</v>
      </c>
      <c r="F46" s="61">
        <v>83.990925993804339</v>
      </c>
      <c r="G46" s="61">
        <v>67.904044633723274</v>
      </c>
      <c r="H46" s="47">
        <v>57.153001916150679</v>
      </c>
      <c r="I46" s="3"/>
      <c r="J46" s="3"/>
      <c r="K46" s="69"/>
      <c r="L46" s="60" t="s">
        <v>4</v>
      </c>
      <c r="M46" s="63">
        <v>4.0057228946574526</v>
      </c>
      <c r="N46" s="61">
        <v>4.1865702633541826</v>
      </c>
      <c r="O46" s="61">
        <v>4.545801770316948</v>
      </c>
      <c r="P46" s="61">
        <v>5.2970409532044824</v>
      </c>
      <c r="Q46" s="61">
        <v>8.4255075065590859</v>
      </c>
      <c r="R46" s="47">
        <v>9.9899936237244393</v>
      </c>
    </row>
    <row r="47" spans="1:18" ht="15" thickBot="1" x14ac:dyDescent="0.25">
      <c r="A47" s="70"/>
      <c r="B47" s="50" t="s">
        <v>22</v>
      </c>
      <c r="C47" s="64">
        <v>92.458195300634074</v>
      </c>
      <c r="D47" s="48">
        <v>90.771783647342502</v>
      </c>
      <c r="E47" s="48">
        <v>89.838794843273206</v>
      </c>
      <c r="F47" s="48">
        <v>83.235227654100157</v>
      </c>
      <c r="G47" s="48">
        <v>69.207677576789081</v>
      </c>
      <c r="H47" s="49">
        <v>56.164170079743201</v>
      </c>
      <c r="I47" s="3"/>
      <c r="J47" s="3"/>
      <c r="K47" s="70"/>
      <c r="L47" s="50" t="s">
        <v>22</v>
      </c>
      <c r="M47" s="64">
        <v>3.8761455874952202</v>
      </c>
      <c r="N47" s="48">
        <v>4.445324744693643</v>
      </c>
      <c r="O47" s="48">
        <v>4.7303180021765066</v>
      </c>
      <c r="P47" s="48">
        <v>6.0835690999286101</v>
      </c>
      <c r="Q47" s="48">
        <v>9.1384072429056271</v>
      </c>
      <c r="R47" s="49">
        <v>10.22371646435912</v>
      </c>
    </row>
  </sheetData>
  <mergeCells count="28">
    <mergeCell ref="A2:B2"/>
    <mergeCell ref="K2:L2"/>
    <mergeCell ref="A3:B3"/>
    <mergeCell ref="K3:L3"/>
    <mergeCell ref="A4:B4"/>
    <mergeCell ref="K4:L4"/>
    <mergeCell ref="A17:A23"/>
    <mergeCell ref="K17:K23"/>
    <mergeCell ref="A8:H8"/>
    <mergeCell ref="K8:R8"/>
    <mergeCell ref="A16:H16"/>
    <mergeCell ref="K16:R16"/>
    <mergeCell ref="A9:A15"/>
    <mergeCell ref="K9:K15"/>
    <mergeCell ref="A41:A47"/>
    <mergeCell ref="K41:K47"/>
    <mergeCell ref="A26:B26"/>
    <mergeCell ref="K26:L26"/>
    <mergeCell ref="A27:B27"/>
    <mergeCell ref="K27:L27"/>
    <mergeCell ref="A40:H40"/>
    <mergeCell ref="K40:R40"/>
    <mergeCell ref="A28:B28"/>
    <mergeCell ref="K28:L28"/>
    <mergeCell ref="A32:H32"/>
    <mergeCell ref="K32:R32"/>
    <mergeCell ref="A33:A39"/>
    <mergeCell ref="K33:K39"/>
  </mergeCells>
  <phoneticPr fontId="1" type="noConversion"/>
  <conditionalFormatting sqref="C2:H6 C9:H15 C17:H23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2:I6 I9:I15 I17:I23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plv_unified_nodes</vt:lpstr>
      <vt:lpstr>plv_unified_nodes_B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Yuzeng Xu</cp:lastModifiedBy>
  <dcterms:created xsi:type="dcterms:W3CDTF">2015-06-05T18:17:20Z</dcterms:created>
  <dcterms:modified xsi:type="dcterms:W3CDTF">2025-12-28T07:11:30Z</dcterms:modified>
</cp:coreProperties>
</file>