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47BC9F86-8327-4B66-979A-6555DEB50FD2}" xr6:coauthVersionLast="47" xr6:coauthVersionMax="47" xr10:uidLastSave="{00000000-0000-0000-0000-000000000000}"/>
  <bookViews>
    <workbookView xWindow="28680" yWindow="-210" windowWidth="29040" windowHeight="16440" tabRatio="633" xr2:uid="{00000000-000D-0000-FFFF-FFFF00000000}"/>
  </bookViews>
  <sheets>
    <sheet name="pcc_separate_nodes" sheetId="13" r:id="rId1"/>
    <sheet name="pcc_separate_nodes_B" sheetId="11" r:id="rId2"/>
    <sheet name="pcc_separate_nodes_A" sheetId="12" r:id="rId3"/>
    <sheet name="pcc_fulldat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13" l="1"/>
  <c r="S24" i="13"/>
  <c r="S23" i="13"/>
  <c r="S22" i="13"/>
  <c r="S19" i="13"/>
  <c r="S18" i="13"/>
  <c r="S17" i="13"/>
  <c r="S16" i="13"/>
  <c r="S15" i="13"/>
  <c r="J25" i="13"/>
  <c r="J24" i="13"/>
  <c r="J23" i="13"/>
  <c r="J22" i="13"/>
  <c r="J19" i="13"/>
  <c r="J18" i="13"/>
  <c r="J17" i="13"/>
  <c r="J16" i="13"/>
  <c r="J15" i="13"/>
  <c r="S12" i="13"/>
  <c r="S11" i="13"/>
  <c r="S10" i="13"/>
  <c r="S9" i="13"/>
  <c r="S6" i="13"/>
  <c r="S5" i="13"/>
  <c r="S4" i="13"/>
  <c r="S3" i="13"/>
  <c r="S2" i="13"/>
  <c r="J12" i="13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  <c r="J10" i="9" a="1"/>
  <c r="J10" i="9" s="1"/>
  <c r="J7" i="9" a="1"/>
  <c r="J7" i="9" s="1"/>
  <c r="I16" i="12" a="1"/>
  <c r="I16" i="12" s="1"/>
  <c r="J16" i="12"/>
  <c r="I11" i="12" a="1"/>
  <c r="I11" i="12" s="1"/>
  <c r="J11" i="12"/>
  <c r="J17" i="12"/>
  <c r="I17" i="12" a="1"/>
  <c r="I17" i="12" s="1"/>
  <c r="J15" i="12"/>
  <c r="I15" i="12" a="1"/>
  <c r="I15" i="12" s="1"/>
  <c r="J14" i="12"/>
  <c r="I14" i="12" a="1"/>
  <c r="I14" i="12" s="1"/>
  <c r="J12" i="12"/>
  <c r="I12" i="12" a="1"/>
  <c r="I12" i="12" s="1"/>
  <c r="J10" i="12"/>
  <c r="I10" i="12" a="1"/>
  <c r="I10" i="12" s="1"/>
  <c r="J9" i="12"/>
  <c r="I9" i="12" a="1"/>
  <c r="I9" i="12" s="1"/>
  <c r="J6" i="12"/>
  <c r="I6" i="12" a="1"/>
  <c r="I6" i="12" s="1"/>
  <c r="J5" i="12"/>
  <c r="I5" i="12" a="1"/>
  <c r="I5" i="12" s="1"/>
  <c r="J4" i="12"/>
  <c r="I4" i="12" a="1"/>
  <c r="I4" i="12" s="1"/>
  <c r="J3" i="12"/>
  <c r="I3" i="12" a="1"/>
  <c r="I3" i="12" s="1"/>
  <c r="J2" i="12"/>
  <c r="I2" i="12" a="1"/>
  <c r="I2" i="12" s="1"/>
  <c r="J3" i="11"/>
  <c r="J4" i="11"/>
  <c r="J5" i="11"/>
  <c r="J6" i="11"/>
  <c r="I4" i="11" a="1"/>
  <c r="I4" i="11" s="1"/>
  <c r="J4" i="9" a="1"/>
  <c r="J4" i="9" s="1"/>
  <c r="J3" i="9" a="1"/>
  <c r="J3" i="9" s="1"/>
  <c r="I3" i="11" a="1"/>
  <c r="I3" i="11" s="1"/>
  <c r="J27" i="9" a="1"/>
  <c r="J27" i="9" s="1"/>
  <c r="J18" i="9" a="1"/>
  <c r="J18" i="9" s="1"/>
  <c r="J9" i="9" a="1"/>
  <c r="J9" i="9" s="1"/>
  <c r="J8" i="9" a="1"/>
  <c r="J8" i="9" s="1"/>
  <c r="J6" i="9" a="1"/>
  <c r="J6" i="9" s="1"/>
  <c r="J5" i="9" a="1"/>
  <c r="J5" i="9" s="1"/>
  <c r="J2" i="9" a="1"/>
  <c r="J2" i="9" s="1"/>
  <c r="I2" i="11" a="1"/>
  <c r="I2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7" i="11" a="1"/>
  <c r="I17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6" i="11" a="1"/>
  <c r="I6" i="11" s="1"/>
  <c r="I5" i="11" a="1"/>
  <c r="I5" i="11" s="1"/>
  <c r="J23" i="11"/>
  <c r="J22" i="11"/>
  <c r="J21" i="11"/>
  <c r="J20" i="11"/>
  <c r="J19" i="11"/>
  <c r="J18" i="11"/>
  <c r="J17" i="11"/>
  <c r="J15" i="11"/>
  <c r="J14" i="11"/>
  <c r="J13" i="11"/>
  <c r="J12" i="11"/>
  <c r="J11" i="11"/>
  <c r="J10" i="11"/>
  <c r="J9" i="11"/>
  <c r="J2" i="11"/>
  <c r="K9" i="9"/>
  <c r="K6" i="9"/>
  <c r="K8" i="9"/>
  <c r="L5" i="9"/>
  <c r="K5" i="9"/>
  <c r="L2" i="9"/>
  <c r="L28" i="9"/>
  <c r="L27" i="9"/>
  <c r="L26" i="9"/>
  <c r="L25" i="9"/>
  <c r="L24" i="9"/>
  <c r="L23" i="9"/>
  <c r="L22" i="9"/>
  <c r="L14" i="9"/>
  <c r="L15" i="9"/>
  <c r="L16" i="9"/>
  <c r="L17" i="9"/>
  <c r="L18" i="9"/>
  <c r="L19" i="9"/>
  <c r="L13" i="9"/>
  <c r="K28" i="9"/>
  <c r="K27" i="9"/>
  <c r="K26" i="9"/>
  <c r="K25" i="9"/>
  <c r="K24" i="9"/>
  <c r="K23" i="9"/>
  <c r="K22" i="9"/>
  <c r="K19" i="9"/>
  <c r="K18" i="9"/>
  <c r="K17" i="9"/>
  <c r="K16" i="9"/>
  <c r="K15" i="9"/>
  <c r="K14" i="9"/>
  <c r="K13" i="9"/>
  <c r="K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<sst xmlns="http://schemas.openxmlformats.org/spreadsheetml/2006/main" count="381" uniqueCount="32">
  <si>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</si>
  <si>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</si>
  <si>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</si>
  <si>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</si>
  <si>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</si>
  <si>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</si>
  <si>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</si>
  <si>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</si>
  <si>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</si>
  <si>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Advanced Model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</si>
  <si>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</si>
  <si>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</si>
  <si>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</si>
  <si>
    <t>knn_median=3</t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</si>
  <si>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</si>
  <si>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</si>
  <si>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</si>
  <si>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</si>
  <si>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</si>
  <si>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</si>
  <si>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Accuracy</t>
    <phoneticPr fontId="1" type="noConversion"/>
  </si>
  <si>
    <t>NNR</t>
    <phoneticPr fontId="1" type="noConversion"/>
  </si>
  <si>
    <t>Original FN</t>
    <phoneticPr fontId="1" type="noConversion"/>
  </si>
  <si>
    <t>Generalized Surface Laplacian</t>
  </si>
  <si>
    <t>Graph Laplacian Highpass</t>
  </si>
  <si>
    <t>Accuracy_Std</t>
    <phoneticPr fontId="1" type="noConversion"/>
  </si>
  <si>
    <t>F1 Score</t>
    <phoneticPr fontId="1" type="noConversion"/>
  </si>
  <si>
    <t>NRR</t>
    <phoneticPr fontId="1" type="noConversion"/>
  </si>
  <si>
    <t>F1 Score_Std</t>
    <phoneticPr fontId="1" type="noConversion"/>
  </si>
  <si>
    <t>Graph Laplacian Highpass</t>
    <phoneticPr fontId="1" type="noConversion"/>
  </si>
  <si>
    <t>basic optimal_unify node</t>
  </si>
  <si>
    <t>basic optimal_unify node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</si>
</sst>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0" xfId="0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2" fillId="2" borderId="4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EC66-14F0-4D21-A6A2-A1AADF2568A4}">
  <dimension ref="A1:S32"/>
  <sheetViews>
    <sheetView tabSelected="1"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9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  <c r="S1" s="5"/>
    </row>
    <row r="2" spans="1:19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  <c r="S2" s="5" t="str">
        <f>"    "&amp;_xlfn.TEXTJOIN(", ",TRUE,M2:R2)&amp;","</f>
        <v xml:space="preserve">    3.46492704446996, 4.46117976216153, 4.77120652488214, 5.39656891030104, 7.93237572607419, 9.99004134928016,</v>
      </c>
    </row>
    <row r="3" spans="1:19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  <c r="S3" s="5" t="str">
        <f t="shared" ref="S3:S6" si="1">"    "&amp;_xlfn.TEXTJOIN(", ",TRUE,M3:R3)&amp;","</f>
        <v xml:space="preserve">    6.95112708815842, 7.2986078225489, 7.51913424026691, 9.22583857069875, 11.882485581755, 10.7201930342839,</v>
      </c>
    </row>
    <row r="4" spans="1:19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  <c r="S4" s="5" t="str">
        <f t="shared" si="1"/>
        <v xml:space="preserve">    5.18340709864629, 5.43657368936622, 5.66126031221776, 6.6117141447355, 7.12701128682714, 7.80680893694807,</v>
      </c>
    </row>
    <row r="5" spans="1:19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  <c r="S5" s="5" t="str">
        <f t="shared" si="1"/>
        <v xml:space="preserve">    3.81589906645475, 4.50406632428225, 4.14938833450653, 5.0212741784738, 5.44740052521954, 9.34695255082016,</v>
      </c>
    </row>
    <row r="6" spans="1:19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  <c r="S6" s="5" t="str">
        <f t="shared" si="1"/>
        <v xml:space="preserve">    3.29790769195924, 4.07670529625175, 4.66631564617289, 4.87272409107873, 5.96728189643933, 7.62754222505464,</v>
      </c>
    </row>
    <row r="7" spans="1:19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  <c r="S7" s="5"/>
    </row>
    <row r="8" spans="1:19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  <c r="S8" s="5"/>
    </row>
    <row r="9" spans="1:19" x14ac:dyDescent="0.2">
      <c r="A9" s="88" t="s">
        <v>0</v>
      </c>
      <c r="B9" s="59" t="s">
        <v>1</v>
      </c>
      <c r="C9" s="18">
        <v>93.187876481053763</v>
      </c>
      <c r="D9" s="16">
        <v>92.419943079092363</v>
      </c>
      <c r="E9" s="16">
        <v>91.030305913834312</v>
      </c>
      <c r="F9" s="16">
        <v>87.638062036292141</v>
      </c>
      <c r="G9" s="16">
        <v>81.386496999685718</v>
      </c>
      <c r="H9" s="17">
        <v>61.648901230402799</v>
      </c>
      <c r="I9" s="4" cm="1">
        <f t="array" ref="I9">-SUMPRODUCT((D1:H1-C1:G1)*(C9:G9+D9:H9)/2)</f>
        <v>79.602093227450069</v>
      </c>
      <c r="J9" s="5" t="str">
        <f t="shared" ref="J9:J12" si="2">"    "&amp;_xlfn.TEXTJOIN(", ",TRUE,C9:H9)&amp;","</f>
        <v xml:space="preserve">    93.1878764810538, 92.4199430790924, 91.0303059138343, 87.6380620362921, 81.3864969996857, 61.6489012304028,</v>
      </c>
      <c r="K9" s="88" t="s">
        <v>0</v>
      </c>
      <c r="L9" s="59" t="s">
        <v>1</v>
      </c>
      <c r="M9" s="18">
        <v>3.6629641008104143</v>
      </c>
      <c r="N9" s="16">
        <v>4.0854882292556409</v>
      </c>
      <c r="O9" s="16">
        <v>4.1120388115098363</v>
      </c>
      <c r="P9" s="16">
        <v>5.4598108584907283</v>
      </c>
      <c r="Q9" s="16">
        <v>7.5605060738981908</v>
      </c>
      <c r="R9" s="17">
        <v>10.604590630198228</v>
      </c>
      <c r="S9" s="5" t="str">
        <f t="shared" ref="S9:S12" si="3">"    "&amp;_xlfn.TEXTJOIN(", ",TRUE,M9:R9)&amp;","</f>
        <v xml:space="preserve">    3.66296410081041, 4.08548822925564, 4.11203881150984, 5.45981085849073, 7.56050607389819, 10.6045906301982,</v>
      </c>
    </row>
    <row r="10" spans="1:19" x14ac:dyDescent="0.2">
      <c r="A10" s="89"/>
      <c r="B10" s="61" t="s">
        <v>5</v>
      </c>
      <c r="C10" s="19">
        <v>93.593909405214006</v>
      </c>
      <c r="D10" s="5">
        <v>93.284284466128582</v>
      </c>
      <c r="E10" s="5">
        <v>92.669714559237818</v>
      </c>
      <c r="F10" s="5">
        <v>89.612317868955046</v>
      </c>
      <c r="G10" s="5">
        <v>84.325126803288398</v>
      </c>
      <c r="H10" s="9">
        <v>63.609272859915158</v>
      </c>
      <c r="I10" s="4" cm="1">
        <f t="array" ref="I10">-SUMPRODUCT((D1:H1-C1:G1)*(C10:G10+D10:H10)/2)</f>
        <v>80.925819571680265</v>
      </c>
      <c r="J10" s="5" t="str">
        <f t="shared" si="2"/>
        <v xml:space="preserve">    93.593909405214, 93.2842844661286, 92.6697145592378, 89.612317868955, 84.3251268032884, 63.6092728599152,</v>
      </c>
      <c r="K10" s="89"/>
      <c r="L10" s="61" t="s">
        <v>5</v>
      </c>
      <c r="M10" s="19">
        <v>3.5074053242674119</v>
      </c>
      <c r="N10" s="5">
        <v>3.9399538658766482</v>
      </c>
      <c r="O10" s="5">
        <v>4.159993860751583</v>
      </c>
      <c r="P10" s="5">
        <v>5.1168143294470738</v>
      </c>
      <c r="Q10" s="5">
        <v>6.5623946230239643</v>
      </c>
      <c r="R10" s="9">
        <v>11.499157764357163</v>
      </c>
      <c r="S10" s="5" t="str">
        <f t="shared" si="3"/>
        <v xml:space="preserve">    3.50740532426741, 3.93995386587665, 4.15999386075158, 5.11681432944707, 6.56239462302396, 11.4991577643572,</v>
      </c>
    </row>
    <row r="11" spans="1:19" x14ac:dyDescent="0.2">
      <c r="A11" s="89"/>
      <c r="B11" s="61" t="s">
        <v>6</v>
      </c>
      <c r="C11" s="19">
        <v>93.271403731866201</v>
      </c>
      <c r="D11" s="5">
        <v>93.159332404836263</v>
      </c>
      <c r="E11" s="5">
        <v>92.607934901397655</v>
      </c>
      <c r="F11" s="5">
        <v>91.395767552775823</v>
      </c>
      <c r="G11" s="5">
        <v>86.100098905123176</v>
      </c>
      <c r="H11" s="9">
        <v>60.13909866579008</v>
      </c>
      <c r="I11" s="4" cm="1">
        <f t="array" ref="I11">-SUMPRODUCT((D1:H1-C1:G1)*(C11:G11+D11:H11)/2)</f>
        <v>81.111873877225008</v>
      </c>
      <c r="J11" s="5" t="str">
        <f t="shared" si="2"/>
        <v xml:space="preserve">    93.2714037318662, 93.1593324048363, 92.6079349013977, 91.3957675527758, 86.1000989051232, 60.1390986657901,</v>
      </c>
      <c r="K11" s="89"/>
      <c r="L11" s="61" t="s">
        <v>6</v>
      </c>
      <c r="M11" s="19">
        <v>3.311889145333164</v>
      </c>
      <c r="N11" s="5">
        <v>3.5622318729197451</v>
      </c>
      <c r="O11" s="5">
        <v>3.7249656002914562</v>
      </c>
      <c r="P11" s="5">
        <v>4.592478163076521</v>
      </c>
      <c r="Q11" s="5">
        <v>5.9203738735922764</v>
      </c>
      <c r="R11" s="9">
        <v>9.725428258600461</v>
      </c>
      <c r="S11" s="5" t="str">
        <f t="shared" si="3"/>
        <v xml:space="preserve">    3.31188914533316, 3.56223187291975, 3.72496560029146, 4.59247816307652, 5.92037387359228, 9.72542825860046,</v>
      </c>
    </row>
    <row r="12" spans="1:19" ht="15" thickBot="1" x14ac:dyDescent="0.25">
      <c r="A12" s="90"/>
      <c r="B12" s="63" t="s">
        <v>7</v>
      </c>
      <c r="C12" s="21">
        <v>93.614587208078504</v>
      </c>
      <c r="D12" s="22">
        <v>92.683728521296331</v>
      </c>
      <c r="E12" s="22">
        <v>92.067301620256245</v>
      </c>
      <c r="F12" s="22">
        <v>89.309630706147985</v>
      </c>
      <c r="G12" s="22">
        <v>84.609852449704022</v>
      </c>
      <c r="H12" s="23">
        <v>64.470915261666036</v>
      </c>
      <c r="I12" s="4" cm="1">
        <f t="array" ref="I12">-SUMPRODUCT((D1:H1-C1:G1)*(C12:G12+D12:H12)/2)</f>
        <v>80.668874009867466</v>
      </c>
      <c r="J12" s="5" t="str">
        <f t="shared" si="2"/>
        <v xml:space="preserve">    93.6145872080785, 92.6837285212963, 92.0673016202562, 89.309630706148, 84.609852449704, 64.470915261666,</v>
      </c>
      <c r="K12" s="90"/>
      <c r="L12" s="63" t="s">
        <v>7</v>
      </c>
      <c r="M12" s="21">
        <v>3.5679190940153709</v>
      </c>
      <c r="N12" s="22">
        <v>5.0380655017886244</v>
      </c>
      <c r="O12" s="22">
        <v>4.1912600383848426</v>
      </c>
      <c r="P12" s="22">
        <v>5.0446554677555504</v>
      </c>
      <c r="Q12" s="22">
        <v>6.8308155253380578</v>
      </c>
      <c r="R12" s="23">
        <v>11.985648803016417</v>
      </c>
      <c r="S12" s="5" t="str">
        <f t="shared" si="3"/>
        <v xml:space="preserve">    3.56791909401537, 5.03806550178862, 4.19126003838484, 5.04465546775555, 6.83081552533806, 11.9856488030164,</v>
      </c>
    </row>
    <row r="13" spans="1:19" ht="15" thickBot="1" x14ac:dyDescent="0.25"/>
    <row r="14" spans="1:19" ht="15" thickBot="1" x14ac:dyDescent="0.25">
      <c r="A14" s="69" t="s">
        <v>26</v>
      </c>
      <c r="B14" s="65" t="s">
        <v>27</v>
      </c>
      <c r="C14" s="67">
        <v>1</v>
      </c>
      <c r="D14" s="67">
        <v>0.75</v>
      </c>
      <c r="E14" s="67">
        <v>0.5</v>
      </c>
      <c r="F14" s="67">
        <v>0.3</v>
      </c>
      <c r="G14" s="67">
        <v>0.2</v>
      </c>
      <c r="H14" s="65">
        <v>0.1</v>
      </c>
      <c r="I14" s="24"/>
      <c r="J14" s="25"/>
      <c r="K14" s="69" t="s">
        <v>28</v>
      </c>
      <c r="L14" s="65" t="s">
        <v>27</v>
      </c>
      <c r="M14" s="67">
        <v>1</v>
      </c>
      <c r="N14" s="67">
        <v>0.75</v>
      </c>
      <c r="O14" s="67">
        <v>0.5</v>
      </c>
      <c r="P14" s="67">
        <v>0.3</v>
      </c>
      <c r="Q14" s="67">
        <v>0.2</v>
      </c>
      <c r="R14" s="65">
        <v>0.1</v>
      </c>
      <c r="S14" s="25"/>
    </row>
    <row r="15" spans="1:19" ht="15" thickBot="1" x14ac:dyDescent="0.25">
      <c r="A15" s="81" t="s">
        <v>22</v>
      </c>
      <c r="B15" s="82"/>
      <c r="C15" s="26">
        <v>92.567111769713335</v>
      </c>
      <c r="D15" s="26">
        <v>90.835858608343599</v>
      </c>
      <c r="E15" s="26">
        <v>89.217505339533233</v>
      </c>
      <c r="F15" s="26">
        <v>83.237245964288078</v>
      </c>
      <c r="G15" s="26">
        <v>75.380430844191011</v>
      </c>
      <c r="H15" s="27">
        <v>58.994367187597383</v>
      </c>
      <c r="I15" s="25"/>
      <c r="J15" s="25" t="str">
        <f>"    "&amp;_xlfn.TEXTJOIN(", ",TRUE,C15:H15)&amp;","</f>
        <v xml:space="preserve">    92.5671117697133, 90.8358586083436, 89.2175053395332, 83.2372459642881, 75.380430844191, 58.9943671875974,</v>
      </c>
      <c r="K15" s="81" t="s">
        <v>22</v>
      </c>
      <c r="L15" s="82"/>
      <c r="M15" s="25">
        <v>3.88093621561358</v>
      </c>
      <c r="N15" s="25">
        <v>4.8164746829677396</v>
      </c>
      <c r="O15" s="25">
        <v>5.2250608386616522</v>
      </c>
      <c r="P15" s="25">
        <v>5.6675721086724113</v>
      </c>
      <c r="Q15" s="25">
        <v>8.3263283482936075</v>
      </c>
      <c r="R15" s="28">
        <v>10.49020927094638</v>
      </c>
      <c r="S15" s="25" t="str">
        <f>"    "&amp;_xlfn.TEXTJOIN(", ",TRUE,M15:R15)&amp;","</f>
        <v xml:space="preserve">    3.88093621561358, 4.81647468296774, 5.22506083866165, 5.66757210867241, 8.32632834829361, 10.4902092709464,</v>
      </c>
    </row>
    <row r="16" spans="1:19" ht="15" thickBot="1" x14ac:dyDescent="0.25">
      <c r="A16" s="83" t="s">
        <v>16</v>
      </c>
      <c r="B16" s="84"/>
      <c r="C16" s="29">
        <v>89.091144513484792</v>
      </c>
      <c r="D16" s="30">
        <v>88.532444541621487</v>
      </c>
      <c r="E16" s="30">
        <v>87.091035968025309</v>
      </c>
      <c r="F16" s="30">
        <v>82.49212678195542</v>
      </c>
      <c r="G16" s="30">
        <v>78.404864197394232</v>
      </c>
      <c r="H16" s="31">
        <v>65.108004769341349</v>
      </c>
      <c r="I16" s="32"/>
      <c r="J16" s="25" t="str">
        <f t="shared" ref="J16:J19" si="4">"    "&amp;_xlfn.TEXTJOIN(", ",TRUE,C16:H16)&amp;","</f>
        <v xml:space="preserve">    89.0911445134848, 88.5324445416215, 87.0910359680253, 82.4921267819554, 78.4048641973942, 65.1080047693413,</v>
      </c>
      <c r="K16" s="83" t="s">
        <v>16</v>
      </c>
      <c r="L16" s="84"/>
      <c r="M16" s="29">
        <v>5.8923539039658843</v>
      </c>
      <c r="N16" s="30">
        <v>6.3714672776132906</v>
      </c>
      <c r="O16" s="30">
        <v>7.2348097245896552</v>
      </c>
      <c r="P16" s="30">
        <v>10.84553275656566</v>
      </c>
      <c r="Q16" s="30">
        <v>12.817535883021769</v>
      </c>
      <c r="R16" s="31">
        <v>12.24400547643862</v>
      </c>
      <c r="S16" s="25" t="str">
        <f t="shared" ref="S16:S19" si="5">"    "&amp;_xlfn.TEXTJOIN(", ",TRUE,M16:R16)&amp;","</f>
        <v xml:space="preserve">    5.89235390396588, 6.37146727761329, 7.23480972458966, 10.8455327565657, 12.8175358830218, 12.2440054764386,</v>
      </c>
    </row>
    <row r="17" spans="1:19" ht="15" thickBot="1" x14ac:dyDescent="0.25">
      <c r="A17" s="83" t="s">
        <v>17</v>
      </c>
      <c r="B17" s="84"/>
      <c r="C17" s="29">
        <v>85.741374083226546</v>
      </c>
      <c r="D17" s="30">
        <v>85.804305125363982</v>
      </c>
      <c r="E17" s="30">
        <v>86.080704122689539</v>
      </c>
      <c r="F17" s="30">
        <v>85.543210676138614</v>
      </c>
      <c r="G17" s="30">
        <v>83.015709459310699</v>
      </c>
      <c r="H17" s="31">
        <v>72.552621372052599</v>
      </c>
      <c r="I17" s="32"/>
      <c r="J17" s="25" t="str">
        <f t="shared" si="4"/>
        <v xml:space="preserve">    85.7413740832265, 85.804305125364, 86.0807041226895, 85.5432106761386, 83.0157094593107, 72.5526213720526,</v>
      </c>
      <c r="K17" s="83" t="s">
        <v>17</v>
      </c>
      <c r="L17" s="84"/>
      <c r="M17" s="29">
        <v>5.5691696587585708</v>
      </c>
      <c r="N17" s="30">
        <v>5.94594753688102</v>
      </c>
      <c r="O17" s="30">
        <v>6.1418944454331781</v>
      </c>
      <c r="P17" s="30">
        <v>7.2724316109064144</v>
      </c>
      <c r="Q17" s="30">
        <v>8.0003529649381697</v>
      </c>
      <c r="R17" s="31">
        <v>8.555663894113005</v>
      </c>
      <c r="S17" s="25" t="str">
        <f t="shared" si="5"/>
        <v xml:space="preserve">    5.56916965875857, 5.94594753688102, 6.14189444543318, 7.27243161090641, 8.00035296493817, 8.555663894113,</v>
      </c>
    </row>
    <row r="18" spans="1:19" ht="15" thickBot="1" x14ac:dyDescent="0.25">
      <c r="A18" s="68" t="s">
        <v>23</v>
      </c>
      <c r="B18" s="64" t="s">
        <v>14</v>
      </c>
      <c r="C18" s="36">
        <v>91.150185018145393</v>
      </c>
      <c r="D18" s="26">
        <v>90.66344543037772</v>
      </c>
      <c r="E18" s="26">
        <v>91.214547832455892</v>
      </c>
      <c r="F18" s="26">
        <v>89.231571189412421</v>
      </c>
      <c r="G18" s="26">
        <v>84.980466719185245</v>
      </c>
      <c r="H18" s="27">
        <v>67.96520669264342</v>
      </c>
      <c r="I18" s="25"/>
      <c r="J18" s="25" t="str">
        <f t="shared" si="4"/>
        <v xml:space="preserve">    91.1501850181454, 90.6634454303777, 91.2145478324559, 89.2315711894124, 84.9804667191852, 67.9652066926434,</v>
      </c>
      <c r="K18" s="68" t="s">
        <v>23</v>
      </c>
      <c r="L18" s="64" t="s">
        <v>14</v>
      </c>
      <c r="M18" s="36">
        <v>4.1975941752007664</v>
      </c>
      <c r="N18" s="26">
        <v>4.8503486283255048</v>
      </c>
      <c r="O18" s="26">
        <v>4.5194818596784581</v>
      </c>
      <c r="P18" s="26">
        <v>5.4908089139402074</v>
      </c>
      <c r="Q18" s="26">
        <v>5.7189247443035436</v>
      </c>
      <c r="R18" s="27">
        <v>9.7048299468359911</v>
      </c>
      <c r="S18" s="25" t="str">
        <f t="shared" si="5"/>
        <v xml:space="preserve">    4.19759417520077, 4.8503486283255, 4.51948185967846, 5.49080891394021, 5.71892474430354, 9.70482994683599,</v>
      </c>
    </row>
    <row r="19" spans="1:19" ht="15" thickBot="1" x14ac:dyDescent="0.25">
      <c r="A19" s="68" t="s">
        <v>24</v>
      </c>
      <c r="B19" s="69" t="s">
        <v>14</v>
      </c>
      <c r="C19" s="36">
        <v>92.578767643112272</v>
      </c>
      <c r="D19" s="26">
        <v>90.805682970500385</v>
      </c>
      <c r="E19" s="26">
        <v>89.579653001499864</v>
      </c>
      <c r="F19" s="26">
        <v>87.339441882301443</v>
      </c>
      <c r="G19" s="26">
        <v>83.066901517151223</v>
      </c>
      <c r="H19" s="27">
        <v>71.204247790888218</v>
      </c>
      <c r="I19" s="25"/>
      <c r="J19" s="25" t="str">
        <f t="shared" si="4"/>
        <v xml:space="preserve">    92.5787676431123, 90.8056829705004, 89.5796530014999, 87.3394418823014, 83.0669015171512, 71.2042477908882,</v>
      </c>
      <c r="K19" s="68" t="s">
        <v>24</v>
      </c>
      <c r="L19" s="69" t="s">
        <v>14</v>
      </c>
      <c r="M19" s="36">
        <v>3.7226719428771933</v>
      </c>
      <c r="N19" s="26">
        <v>4.4500612276713989</v>
      </c>
      <c r="O19" s="26">
        <v>5.1740468516560956</v>
      </c>
      <c r="P19" s="26">
        <v>5.4342914409914789</v>
      </c>
      <c r="Q19" s="26">
        <v>6.609985573128915</v>
      </c>
      <c r="R19" s="27">
        <v>7.9502861347038616</v>
      </c>
      <c r="S19" s="25" t="str">
        <f t="shared" si="5"/>
        <v xml:space="preserve">    3.72267194287719, 4.4500612276714, 5.1740468516561, 5.43429144099148, 6.60998557312891, 7.95028613470386,</v>
      </c>
    </row>
    <row r="20" spans="1:19" ht="15" thickBot="1" x14ac:dyDescent="0.25">
      <c r="A20" s="37"/>
      <c r="B20" s="38"/>
      <c r="C20" s="49"/>
      <c r="D20" s="49"/>
      <c r="E20" s="49"/>
      <c r="F20" s="49"/>
      <c r="G20" s="49"/>
      <c r="H20" s="50"/>
      <c r="I20" s="40"/>
      <c r="J20" s="25"/>
      <c r="K20" s="37"/>
      <c r="L20" s="38"/>
      <c r="M20" s="49"/>
      <c r="N20" s="49"/>
      <c r="O20" s="49"/>
      <c r="P20" s="49"/>
      <c r="Q20" s="49"/>
      <c r="R20" s="50"/>
      <c r="S20" s="25"/>
    </row>
    <row r="21" spans="1:19" ht="15" thickBot="1" x14ac:dyDescent="0.25">
      <c r="A21" s="91" t="s">
        <v>19</v>
      </c>
      <c r="B21" s="92"/>
      <c r="C21" s="92"/>
      <c r="D21" s="92"/>
      <c r="E21" s="92"/>
      <c r="F21" s="92"/>
      <c r="G21" s="92"/>
      <c r="H21" s="93"/>
      <c r="I21" s="24"/>
      <c r="J21" s="25"/>
      <c r="K21" s="91" t="s">
        <v>19</v>
      </c>
      <c r="L21" s="92"/>
      <c r="M21" s="92"/>
      <c r="N21" s="92"/>
      <c r="O21" s="92"/>
      <c r="P21" s="92"/>
      <c r="Q21" s="92"/>
      <c r="R21" s="93"/>
      <c r="S21" s="25"/>
    </row>
    <row r="22" spans="1:19" x14ac:dyDescent="0.2">
      <c r="A22" s="94" t="s">
        <v>0</v>
      </c>
      <c r="B22" s="70" t="s">
        <v>1</v>
      </c>
      <c r="C22" s="33">
        <v>92.820738792005557</v>
      </c>
      <c r="D22" s="34">
        <v>91.960076103634933</v>
      </c>
      <c r="E22" s="34">
        <v>90.623611228667414</v>
      </c>
      <c r="F22" s="34">
        <v>87.147401908523506</v>
      </c>
      <c r="G22" s="34">
        <v>80.684883446065982</v>
      </c>
      <c r="H22" s="35">
        <v>60.433547736945336</v>
      </c>
      <c r="I22" s="25"/>
      <c r="J22" s="25" t="str">
        <f t="shared" ref="J22:J25" si="6">"    "&amp;_xlfn.TEXTJOIN(", ",TRUE,C22:H22)&amp;","</f>
        <v xml:space="preserve">    92.8207387920056, 91.9600761036349, 90.6236112286674, 87.1474019085235, 80.684883446066, 60.4335477369453,</v>
      </c>
      <c r="K22" s="94" t="s">
        <v>0</v>
      </c>
      <c r="L22" s="70" t="s">
        <v>1</v>
      </c>
      <c r="M22" s="33">
        <v>3.9832785287226642</v>
      </c>
      <c r="N22" s="34">
        <v>4.384481875563857</v>
      </c>
      <c r="O22" s="34">
        <v>4.3933682019589702</v>
      </c>
      <c r="P22" s="34">
        <v>5.7258360206959802</v>
      </c>
      <c r="Q22" s="34">
        <v>7.9571441032328494</v>
      </c>
      <c r="R22" s="35">
        <v>11.156546553337531</v>
      </c>
      <c r="S22" s="25" t="str">
        <f t="shared" ref="S22:S25" si="7">"    "&amp;_xlfn.TEXTJOIN(", ",TRUE,M22:R22)&amp;","</f>
        <v xml:space="preserve">    3.98327852872266, 4.38448187556386, 4.39336820195897, 5.72583602069598, 7.95714410323285, 11.1565465533375,</v>
      </c>
    </row>
    <row r="23" spans="1:19" x14ac:dyDescent="0.2">
      <c r="A23" s="95"/>
      <c r="B23" s="71" t="s">
        <v>5</v>
      </c>
      <c r="C23" s="41">
        <v>93.155419737732046</v>
      </c>
      <c r="D23" s="25">
        <v>92.891252101569421</v>
      </c>
      <c r="E23" s="25">
        <v>92.354820431535103</v>
      </c>
      <c r="F23" s="25">
        <v>89.262237664911709</v>
      </c>
      <c r="G23" s="25">
        <v>83.817415142302622</v>
      </c>
      <c r="H23" s="28">
        <v>62.583030132951436</v>
      </c>
      <c r="I23" s="25"/>
      <c r="J23" s="25" t="str">
        <f t="shared" si="6"/>
        <v xml:space="preserve">    93.155419737732, 92.8912521015694, 92.3548204315351, 89.2622376649117, 83.8174151423026, 62.5830301329514,</v>
      </c>
      <c r="K23" s="95"/>
      <c r="L23" s="71" t="s">
        <v>5</v>
      </c>
      <c r="M23" s="41">
        <v>3.8707101747526216</v>
      </c>
      <c r="N23" s="25">
        <v>4.3079284051136435</v>
      </c>
      <c r="O23" s="25">
        <v>4.4205356766114763</v>
      </c>
      <c r="P23" s="25">
        <v>5.3097950223237715</v>
      </c>
      <c r="Q23" s="25">
        <v>6.7759657284130972</v>
      </c>
      <c r="R23" s="28">
        <v>11.798403704025185</v>
      </c>
      <c r="S23" s="25" t="str">
        <f t="shared" si="7"/>
        <v xml:space="preserve">    3.87071017475262, 4.30792840511364, 4.42053567661148, 5.30979502232377, 6.7759657284131, 11.7984037040252,</v>
      </c>
    </row>
    <row r="24" spans="1:19" x14ac:dyDescent="0.2">
      <c r="A24" s="95"/>
      <c r="B24" s="71" t="s">
        <v>6</v>
      </c>
      <c r="C24" s="41">
        <v>92.821279056315362</v>
      </c>
      <c r="D24" s="25">
        <v>92.733480621303571</v>
      </c>
      <c r="E24" s="25">
        <v>92.203500219400965</v>
      </c>
      <c r="F24" s="25">
        <v>91.071302925601856</v>
      </c>
      <c r="G24" s="25">
        <v>85.612815475594061</v>
      </c>
      <c r="H24" s="28">
        <v>58.992680230672832</v>
      </c>
      <c r="I24" s="25"/>
      <c r="J24" s="25" t="str">
        <f t="shared" si="6"/>
        <v xml:space="preserve">    92.8212790563154, 92.7334806213036, 92.203500219401, 91.0713029256019, 85.6128154755941, 58.9926802306728,</v>
      </c>
      <c r="K24" s="95"/>
      <c r="L24" s="71" t="s">
        <v>6</v>
      </c>
      <c r="M24" s="41">
        <v>3.654167143417371</v>
      </c>
      <c r="N24" s="25">
        <v>3.872585567952481</v>
      </c>
      <c r="O24" s="25">
        <v>4.0466276106990549</v>
      </c>
      <c r="P24" s="25">
        <v>4.8526676778723434</v>
      </c>
      <c r="Q24" s="25">
        <v>6.1913517121362496</v>
      </c>
      <c r="R24" s="28">
        <v>10.091912686159521</v>
      </c>
      <c r="S24" s="25" t="str">
        <f t="shared" si="7"/>
        <v xml:space="preserve">    3.65416714341737, 3.87258556795248, 4.04662761069905, 4.85266767787234, 6.19135171213625, 10.0919126861595,</v>
      </c>
    </row>
    <row r="25" spans="1:19" ht="15" thickBot="1" x14ac:dyDescent="0.25">
      <c r="A25" s="96"/>
      <c r="B25" s="66" t="s">
        <v>7</v>
      </c>
      <c r="C25" s="42">
        <v>93.243833233650619</v>
      </c>
      <c r="D25" s="43">
        <v>92.244152662300351</v>
      </c>
      <c r="E25" s="43">
        <v>91.779399224683033</v>
      </c>
      <c r="F25" s="43">
        <v>88.942376530063612</v>
      </c>
      <c r="G25" s="43">
        <v>84.074415427072154</v>
      </c>
      <c r="H25" s="44">
        <v>63.593677785045287</v>
      </c>
      <c r="I25" s="25"/>
      <c r="J25" s="25" t="str">
        <f t="shared" si="6"/>
        <v xml:space="preserve">    93.2438332336506, 92.2441526623004, 91.779399224683, 88.9423765300636, 84.0744154270722, 63.5936777850453,</v>
      </c>
      <c r="K25" s="96"/>
      <c r="L25" s="66" t="s">
        <v>7</v>
      </c>
      <c r="M25" s="42">
        <v>3.8779021026816878</v>
      </c>
      <c r="N25" s="43">
        <v>5.459933038676585</v>
      </c>
      <c r="O25" s="43">
        <v>4.314698164495594</v>
      </c>
      <c r="P25" s="43">
        <v>5.2914242658912007</v>
      </c>
      <c r="Q25" s="43">
        <v>7.0686449776166889</v>
      </c>
      <c r="R25" s="44">
        <v>12.320009696250258</v>
      </c>
      <c r="S25" s="25" t="str">
        <f t="shared" si="7"/>
        <v xml:space="preserve">    3.87790210268169, 5.45993303867658, 4.31469816449559, 5.2914242658912, 7.06864497761669, 12.3200096962503,</v>
      </c>
    </row>
    <row r="28" spans="1:19" x14ac:dyDescent="0.2">
      <c r="D28"/>
      <c r="E28"/>
      <c r="F28"/>
      <c r="G28"/>
      <c r="H28"/>
      <c r="I28"/>
    </row>
    <row r="32" spans="1:19" x14ac:dyDescent="0.2">
      <c r="D32"/>
      <c r="E32"/>
      <c r="F32"/>
      <c r="G32"/>
      <c r="H32"/>
      <c r="I32"/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A3:A4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8:B1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H2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2 C5:H6">
    <cfRule type="colorScale" priority="12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">
    <cfRule type="colorScale" priority="12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 C2:H6">
    <cfRule type="colorScale" priority="12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11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2">
    <cfRule type="colorScale" priority="12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2 C2:I6">
    <cfRule type="colorScale" priority="12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 C2:H3 C5:H7">
    <cfRule type="colorScale" priority="12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1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:I12 I5:I6 C5:H7">
    <cfRule type="colorScale" priority="12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I2:I6">
    <cfRule type="colorScale" priority="12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2">
    <cfRule type="colorScale" priority="11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:L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R2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R55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</row>
    <row r="2" spans="1:18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</row>
    <row r="3" spans="1:18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</row>
    <row r="4" spans="1:18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</row>
    <row r="5" spans="1:18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</row>
    <row r="6" spans="1:18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</row>
    <row r="7" spans="1:18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</row>
    <row r="8" spans="1:18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</row>
    <row r="9" spans="1:18" x14ac:dyDescent="0.2">
      <c r="A9" s="88" t="s">
        <v>0</v>
      </c>
      <c r="B9" s="59" t="s">
        <v>1</v>
      </c>
      <c r="C9" s="18">
        <v>93.187876481053763</v>
      </c>
      <c r="D9" s="16">
        <v>92.419943079092363</v>
      </c>
      <c r="E9" s="16">
        <v>91.030305913834312</v>
      </c>
      <c r="F9" s="16">
        <v>87.638062036292141</v>
      </c>
      <c r="G9" s="16">
        <v>81.386496999685718</v>
      </c>
      <c r="H9" s="17">
        <v>61.648901230402799</v>
      </c>
      <c r="I9" s="4" cm="1">
        <f t="array" ref="I9">-SUMPRODUCT((D1:H1-C1:G1)*(C9:G9+D9:H9)/2)</f>
        <v>79.602093227450069</v>
      </c>
      <c r="J9" s="5" t="str">
        <f t="shared" ref="J9:J15" si="1">"    "&amp;_xlfn.TEXTJOIN(", ",TRUE,C9:H9)&amp;","</f>
        <v xml:space="preserve">    93.1878764810538, 92.4199430790924, 91.0303059138343, 87.6380620362921, 81.3864969996857, 61.6489012304028,</v>
      </c>
      <c r="K9" s="88" t="s">
        <v>0</v>
      </c>
      <c r="L9" s="59" t="s">
        <v>1</v>
      </c>
      <c r="M9" s="18">
        <v>3.6629641008104143</v>
      </c>
      <c r="N9" s="16">
        <v>4.0854882292556409</v>
      </c>
      <c r="O9" s="16">
        <v>4.1120388115098363</v>
      </c>
      <c r="P9" s="16">
        <v>5.4598108584907283</v>
      </c>
      <c r="Q9" s="16">
        <v>7.5605060738981908</v>
      </c>
      <c r="R9" s="17">
        <v>10.604590630198228</v>
      </c>
    </row>
    <row r="10" spans="1:18" x14ac:dyDescent="0.2">
      <c r="A10" s="89"/>
      <c r="B10" s="61" t="s">
        <v>2</v>
      </c>
      <c r="C10" s="19">
        <v>93.308803132668416</v>
      </c>
      <c r="D10" s="5">
        <v>92.32654838421324</v>
      </c>
      <c r="E10" s="5">
        <v>90.944131581299729</v>
      </c>
      <c r="F10" s="5">
        <v>88.444112838346342</v>
      </c>
      <c r="G10" s="5">
        <v>81.14231668670719</v>
      </c>
      <c r="H10" s="9">
        <v>62.606790139476402</v>
      </c>
      <c r="I10" s="4" cm="1">
        <f t="array" ref="I10">-SUMPRODUCT((D1:H1-C1:G1)*(C10:G10+D10:H10)/2)</f>
        <v>79.718855194825792</v>
      </c>
      <c r="J10" s="5" t="str">
        <f t="shared" si="1"/>
        <v xml:space="preserve">    93.3088031326684, 92.3265483842132, 90.9441315812997, 88.4441128383463, 81.1423166867072, 62.6067901394764,</v>
      </c>
      <c r="K10" s="89"/>
      <c r="L10" s="61" t="s">
        <v>2</v>
      </c>
      <c r="M10" s="19">
        <v>3.8099284628268744</v>
      </c>
      <c r="N10" s="5">
        <v>4.3923869286198984</v>
      </c>
      <c r="O10" s="5">
        <v>4.3803548174400602</v>
      </c>
      <c r="P10" s="5">
        <v>5.4605577308245961</v>
      </c>
      <c r="Q10" s="5">
        <v>8.0077218140585149</v>
      </c>
      <c r="R10" s="9">
        <v>10.235120772896638</v>
      </c>
    </row>
    <row r="11" spans="1:18" x14ac:dyDescent="0.2">
      <c r="A11" s="89"/>
      <c r="B11" s="61" t="s">
        <v>3</v>
      </c>
      <c r="C11" s="19">
        <v>93.311706848675158</v>
      </c>
      <c r="D11" s="5">
        <v>92.970564912614591</v>
      </c>
      <c r="E11" s="5">
        <v>92.714911028642135</v>
      </c>
      <c r="F11" s="5">
        <v>91.618528995348854</v>
      </c>
      <c r="G11" s="5">
        <v>84.537879508761606</v>
      </c>
      <c r="H11" s="9">
        <v>58.728483810413593</v>
      </c>
      <c r="I11" s="4" cm="1">
        <f t="array" ref="I11">-SUMPRODUCT((D1:H1-C1:G1)*(C11:G11+D11:H11)/2)</f>
        <v>80.900451056381684</v>
      </c>
      <c r="J11" s="5" t="str">
        <f t="shared" si="1"/>
        <v xml:space="preserve">    93.3117068486752, 92.9705649126146, 92.7149110286421, 91.6185289953489, 84.5378795087616, 58.7284838104136,</v>
      </c>
      <c r="K11" s="89"/>
      <c r="L11" s="61" t="s">
        <v>3</v>
      </c>
      <c r="M11" s="19">
        <v>3.6854249541106205</v>
      </c>
      <c r="N11" s="5">
        <v>3.5652997191661031</v>
      </c>
      <c r="O11" s="5">
        <v>3.9267489059362291</v>
      </c>
      <c r="P11" s="5">
        <v>4.1607335839464268</v>
      </c>
      <c r="Q11" s="5">
        <v>6.7329594829893642</v>
      </c>
      <c r="R11" s="9">
        <v>10.377592524298565</v>
      </c>
    </row>
    <row r="12" spans="1:18" x14ac:dyDescent="0.2">
      <c r="A12" s="89"/>
      <c r="B12" s="61" t="s">
        <v>4</v>
      </c>
      <c r="C12" s="19">
        <v>93.259627390086976</v>
      </c>
      <c r="D12" s="5">
        <v>92.96466520759985</v>
      </c>
      <c r="E12" s="5">
        <v>92.449568479542776</v>
      </c>
      <c r="F12" s="5">
        <v>90.955452325135454</v>
      </c>
      <c r="G12" s="5">
        <v>84.191627955259108</v>
      </c>
      <c r="H12" s="9">
        <v>61.887989227127122</v>
      </c>
      <c r="I12" s="4" cm="1">
        <f t="array" ref="I12">-SUMPRODUCT((D1:H1-C1:G1)*(C12:G12+D12:H12)/2)</f>
        <v>80.856652739210546</v>
      </c>
      <c r="J12" s="5" t="str">
        <f t="shared" si="1"/>
        <v xml:space="preserve">    93.259627390087, 92.9646652075999, 92.4495684795428, 90.9554523251355, 84.1916279552591, 61.8879892271271,</v>
      </c>
      <c r="K12" s="89"/>
      <c r="L12" s="61" t="s">
        <v>4</v>
      </c>
      <c r="M12" s="19">
        <v>3.3697427990054161</v>
      </c>
      <c r="N12" s="5">
        <v>3.5456273836698302</v>
      </c>
      <c r="O12" s="5">
        <v>3.8389563711719141</v>
      </c>
      <c r="P12" s="5">
        <v>4.3734364854011272</v>
      </c>
      <c r="Q12" s="5">
        <v>7.1466759991199762</v>
      </c>
      <c r="R12" s="9">
        <v>10.218201810253335</v>
      </c>
    </row>
    <row r="13" spans="1:18" x14ac:dyDescent="0.2">
      <c r="A13" s="89"/>
      <c r="B13" s="61" t="s">
        <v>5</v>
      </c>
      <c r="C13" s="19">
        <v>93.593909405214006</v>
      </c>
      <c r="D13" s="5">
        <v>93.284284466128582</v>
      </c>
      <c r="E13" s="5">
        <v>92.669714559237818</v>
      </c>
      <c r="F13" s="5">
        <v>89.612317868955046</v>
      </c>
      <c r="G13" s="5">
        <v>84.325126803288398</v>
      </c>
      <c r="H13" s="9">
        <v>63.609272859915158</v>
      </c>
      <c r="I13" s="4" cm="1">
        <f t="array" ref="I13">-SUMPRODUCT((D1:H1-C1:G1)*(C13:G13+D13:H13)/2)</f>
        <v>80.925819571680265</v>
      </c>
      <c r="J13" s="5" t="str">
        <f t="shared" si="1"/>
        <v xml:space="preserve">    93.593909405214, 93.2842844661286, 92.6697145592378, 89.612317868955, 84.3251268032884, 63.6092728599152,</v>
      </c>
      <c r="K13" s="89"/>
      <c r="L13" s="61" t="s">
        <v>5</v>
      </c>
      <c r="M13" s="19">
        <v>3.5074053242674119</v>
      </c>
      <c r="N13" s="5">
        <v>3.9399538658766482</v>
      </c>
      <c r="O13" s="5">
        <v>4.159993860751583</v>
      </c>
      <c r="P13" s="5">
        <v>5.1168143294470738</v>
      </c>
      <c r="Q13" s="5">
        <v>6.5623946230239643</v>
      </c>
      <c r="R13" s="9">
        <v>11.499157764357163</v>
      </c>
    </row>
    <row r="14" spans="1:18" x14ac:dyDescent="0.2">
      <c r="A14" s="89"/>
      <c r="B14" s="61" t="s">
        <v>6</v>
      </c>
      <c r="C14" s="19">
        <v>93.271403731866201</v>
      </c>
      <c r="D14" s="5">
        <v>93.159332404836263</v>
      </c>
      <c r="E14" s="5">
        <v>92.607934901397655</v>
      </c>
      <c r="F14" s="5">
        <v>91.395767552775823</v>
      </c>
      <c r="G14" s="5">
        <v>86.100098905123176</v>
      </c>
      <c r="H14" s="9">
        <v>60.13909866579008</v>
      </c>
      <c r="I14" s="4" cm="1">
        <f t="array" ref="I14">-SUMPRODUCT((D1:H1-C1:G1)*(C14:G14+D14:H14)/2)</f>
        <v>81.111873877225008</v>
      </c>
      <c r="J14" s="5" t="str">
        <f t="shared" si="1"/>
        <v xml:space="preserve">    93.2714037318662, 93.1593324048363, 92.6079349013977, 91.3957675527758, 86.1000989051232, 60.1390986657901,</v>
      </c>
      <c r="K14" s="89"/>
      <c r="L14" s="61" t="s">
        <v>6</v>
      </c>
      <c r="M14" s="19">
        <v>3.311889145333164</v>
      </c>
      <c r="N14" s="5">
        <v>3.5622318729197451</v>
      </c>
      <c r="O14" s="5">
        <v>3.7249656002914562</v>
      </c>
      <c r="P14" s="5">
        <v>4.592478163076521</v>
      </c>
      <c r="Q14" s="5">
        <v>5.9203738735922764</v>
      </c>
      <c r="R14" s="9">
        <v>9.725428258600461</v>
      </c>
    </row>
    <row r="15" spans="1:18" ht="15" thickBot="1" x14ac:dyDescent="0.25">
      <c r="A15" s="90"/>
      <c r="B15" s="63" t="s">
        <v>7</v>
      </c>
      <c r="C15" s="21">
        <v>93.614587208078504</v>
      </c>
      <c r="D15" s="22">
        <v>92.683728521296331</v>
      </c>
      <c r="E15" s="22">
        <v>92.067301620256245</v>
      </c>
      <c r="F15" s="22">
        <v>89.309630706147985</v>
      </c>
      <c r="G15" s="22">
        <v>84.609852449704022</v>
      </c>
      <c r="H15" s="23">
        <v>64.470915261666036</v>
      </c>
      <c r="I15" s="4" cm="1">
        <f t="array" ref="I15">-SUMPRODUCT((D1:H1-C1:G1)*(C15:G15+D15:H15)/2)</f>
        <v>80.668874009867466</v>
      </c>
      <c r="J15" s="5" t="str">
        <f t="shared" si="1"/>
        <v xml:space="preserve">    93.6145872080785, 92.6837285212963, 92.0673016202562, 89.309630706148, 84.609852449704, 64.470915261666,</v>
      </c>
      <c r="K15" s="90"/>
      <c r="L15" s="63" t="s">
        <v>7</v>
      </c>
      <c r="M15" s="21">
        <v>3.5679190940153709</v>
      </c>
      <c r="N15" s="22">
        <v>5.0380655017886244</v>
      </c>
      <c r="O15" s="22">
        <v>4.1912600383848426</v>
      </c>
      <c r="P15" s="22">
        <v>5.0446554677555504</v>
      </c>
      <c r="Q15" s="22">
        <v>6.8308155253380578</v>
      </c>
      <c r="R15" s="23">
        <v>11.985648803016417</v>
      </c>
    </row>
    <row r="16" spans="1:18" ht="30" customHeight="1" thickBot="1" x14ac:dyDescent="0.25">
      <c r="A16" s="85" t="s">
        <v>18</v>
      </c>
      <c r="B16" s="86"/>
      <c r="C16" s="86"/>
      <c r="D16" s="86"/>
      <c r="E16" s="86"/>
      <c r="F16" s="86"/>
      <c r="G16" s="86"/>
      <c r="H16" s="87"/>
      <c r="I16" s="4"/>
      <c r="J16" s="5"/>
      <c r="K16" s="85" t="s">
        <v>18</v>
      </c>
      <c r="L16" s="86"/>
      <c r="M16" s="86"/>
      <c r="N16" s="86"/>
      <c r="O16" s="86"/>
      <c r="P16" s="86"/>
      <c r="Q16" s="86"/>
      <c r="R16" s="87"/>
    </row>
    <row r="17" spans="1:18" x14ac:dyDescent="0.2">
      <c r="A17" s="88" t="s">
        <v>0</v>
      </c>
      <c r="B17" s="58" t="s">
        <v>1</v>
      </c>
      <c r="C17" s="16">
        <v>92.79746076234801</v>
      </c>
      <c r="D17" s="16">
        <v>92.09972981311833</v>
      </c>
      <c r="E17" s="16">
        <v>91.994123363235545</v>
      </c>
      <c r="F17" s="16">
        <v>89.541535826434497</v>
      </c>
      <c r="G17" s="16">
        <v>81.67196083011099</v>
      </c>
      <c r="H17" s="17">
        <v>63.762388371295017</v>
      </c>
      <c r="I17" s="4" cm="1">
        <f t="array" ref="I17">-SUMPRODUCT((D1:H1-C1:G1)*(C17:G17+D17:H17)/2)</f>
        <v>80.109838680842117</v>
      </c>
      <c r="J17" s="5" t="str">
        <f t="shared" ref="J17:J23" si="2">"    "&amp;_xlfn.TEXTJOIN(", ",TRUE,C17:H17)&amp;","</f>
        <v xml:space="preserve">    92.797460762348, 92.0997298131183, 91.9941233632355, 89.5415358264345, 81.671960830111, 63.762388371295,</v>
      </c>
      <c r="K17" s="88" t="s">
        <v>0</v>
      </c>
      <c r="L17" s="58" t="s">
        <v>1</v>
      </c>
      <c r="M17" s="16">
        <v>3.5644328509299981</v>
      </c>
      <c r="N17" s="16">
        <v>4.2050438921565183</v>
      </c>
      <c r="O17" s="16">
        <v>3.8992827190949368</v>
      </c>
      <c r="P17" s="16">
        <v>4.4855441585972624</v>
      </c>
      <c r="Q17" s="16">
        <v>6.3300685901903293</v>
      </c>
      <c r="R17" s="17">
        <v>9.4934523864393956</v>
      </c>
    </row>
    <row r="18" spans="1:18" x14ac:dyDescent="0.2">
      <c r="A18" s="89"/>
      <c r="B18" s="60" t="s">
        <v>2</v>
      </c>
      <c r="C18" s="5">
        <v>92.97743636767332</v>
      </c>
      <c r="D18" s="5">
        <v>92.087691069991962</v>
      </c>
      <c r="E18" s="5">
        <v>91.488331790644082</v>
      </c>
      <c r="F18" s="5">
        <v>87.81749842126662</v>
      </c>
      <c r="G18" s="5">
        <v>80.833879762512382</v>
      </c>
      <c r="H18" s="9">
        <v>68.633586795733521</v>
      </c>
      <c r="I18" s="4" cm="1">
        <f t="array" ref="I18">-SUMPRODUCT((D1:H1-C1:G1)*(C18:G18+D18:H18)/2)</f>
        <v>79.91666904557998</v>
      </c>
      <c r="J18" s="5" t="str">
        <f t="shared" si="2"/>
        <v xml:space="preserve">    92.9774363676733, 92.087691069992, 91.4883317906441, 87.8174984212666, 80.8338797625124, 68.6335867957335,</v>
      </c>
      <c r="K18" s="89"/>
      <c r="L18" s="60" t="s">
        <v>2</v>
      </c>
      <c r="M18" s="5">
        <v>3.7639591510057691</v>
      </c>
      <c r="N18" s="5">
        <v>4.104491980795232</v>
      </c>
      <c r="O18" s="5">
        <v>3.870871676227456</v>
      </c>
      <c r="P18" s="5">
        <v>4.5942331539360346</v>
      </c>
      <c r="Q18" s="5">
        <v>6.091605017041668</v>
      </c>
      <c r="R18" s="9">
        <v>7.8884246682162882</v>
      </c>
    </row>
    <row r="19" spans="1:18" x14ac:dyDescent="0.2">
      <c r="A19" s="89"/>
      <c r="B19" s="60" t="s">
        <v>3</v>
      </c>
      <c r="C19" s="5">
        <v>92.962718823980623</v>
      </c>
      <c r="D19" s="5">
        <v>92.579235114490601</v>
      </c>
      <c r="E19" s="5">
        <v>91.736531746237702</v>
      </c>
      <c r="F19" s="5">
        <v>90.831074086569373</v>
      </c>
      <c r="G19" s="5">
        <v>86.960486970763881</v>
      </c>
      <c r="H19" s="9">
        <v>69.958056153888293</v>
      </c>
      <c r="I19" s="4" cm="1">
        <f t="array" ref="I19">-SUMPRODUCT((D1:H1-C1:G1)*(C19:G19+D19:H19)/2)</f>
        <v>81.224480892279914</v>
      </c>
      <c r="J19" s="5" t="str">
        <f t="shared" si="2"/>
        <v xml:space="preserve">    92.9627188239806, 92.5792351144906, 91.7365317462377, 90.8310740865694, 86.9604869707639, 69.9580561538883,</v>
      </c>
      <c r="K19" s="89"/>
      <c r="L19" s="60" t="s">
        <v>3</v>
      </c>
      <c r="M19" s="5">
        <v>3.553358547509589</v>
      </c>
      <c r="N19" s="5">
        <v>3.662068131482219</v>
      </c>
      <c r="O19" s="5">
        <v>4.032821683747013</v>
      </c>
      <c r="P19" s="5">
        <v>3.6348682459522301</v>
      </c>
      <c r="Q19" s="5">
        <v>5.3451431508529517</v>
      </c>
      <c r="R19" s="9">
        <v>8.3081066836923902</v>
      </c>
    </row>
    <row r="20" spans="1:18" x14ac:dyDescent="0.2">
      <c r="A20" s="89"/>
      <c r="B20" s="60" t="s">
        <v>4</v>
      </c>
      <c r="C20" s="5">
        <v>91.673641928851779</v>
      </c>
      <c r="D20" s="5">
        <v>91.867395046669955</v>
      </c>
      <c r="E20" s="5">
        <v>91.50381635365936</v>
      </c>
      <c r="F20" s="5">
        <v>91.379175713746079</v>
      </c>
      <c r="G20" s="5">
        <v>88.831829571766775</v>
      </c>
      <c r="H20" s="9">
        <v>70.023970795595105</v>
      </c>
      <c r="I20" s="4" cm="1">
        <f t="array" ref="I20">-SUMPRODUCT((D1:H1-C1:G1)*(C20:G20+D20:H20)/2)</f>
        <v>81.105670536365665</v>
      </c>
      <c r="J20" s="5" t="str">
        <f t="shared" si="2"/>
        <v xml:space="preserve">    91.6736419288518, 91.86739504667, 91.5038163536594, 91.3791757137461, 88.8318295717668, 70.0239707955951,</v>
      </c>
      <c r="K20" s="89"/>
      <c r="L20" s="60" t="s">
        <v>4</v>
      </c>
      <c r="M20" s="5">
        <v>4.0996055394193416</v>
      </c>
      <c r="N20" s="5">
        <v>3.9363678196477259</v>
      </c>
      <c r="O20" s="5">
        <v>4.4775085930829679</v>
      </c>
      <c r="P20" s="5">
        <v>4.3467311762055054</v>
      </c>
      <c r="Q20" s="5">
        <v>5.4186476543956417</v>
      </c>
      <c r="R20" s="9">
        <v>8.3279626177723625</v>
      </c>
    </row>
    <row r="21" spans="1:18" x14ac:dyDescent="0.2">
      <c r="A21" s="89"/>
      <c r="B21" s="60" t="s">
        <v>5</v>
      </c>
      <c r="C21" s="5">
        <v>92.522198865618762</v>
      </c>
      <c r="D21" s="5">
        <v>92.258701776543617</v>
      </c>
      <c r="E21" s="5">
        <v>91.286063604933133</v>
      </c>
      <c r="F21" s="5">
        <v>87.347272323578352</v>
      </c>
      <c r="G21" s="5">
        <v>80.924079504724673</v>
      </c>
      <c r="H21" s="9">
        <v>68.770987061595122</v>
      </c>
      <c r="I21" s="4" cm="1">
        <f t="array" ref="I21">-SUMPRODUCT((D1:H1-C1:G1)*(C21:G21+D21:H21)/2)</f>
        <v>79.802362765537168</v>
      </c>
      <c r="J21" s="5" t="str">
        <f t="shared" si="2"/>
        <v xml:space="preserve">    92.5221988656188, 92.2587017765436, 91.2860636049331, 87.3472723235784, 80.9240795047247, 68.7709870615951,</v>
      </c>
      <c r="K21" s="89"/>
      <c r="L21" s="60" t="s">
        <v>5</v>
      </c>
      <c r="M21" s="5">
        <v>4.1122508316799324</v>
      </c>
      <c r="N21" s="5">
        <v>3.9130111858628869</v>
      </c>
      <c r="O21" s="5">
        <v>4.1402320670424677</v>
      </c>
      <c r="P21" s="5">
        <v>4.9319868448576356</v>
      </c>
      <c r="Q21" s="5">
        <v>5.4027181636296984</v>
      </c>
      <c r="R21" s="9">
        <v>7.5963973372628857</v>
      </c>
    </row>
    <row r="22" spans="1:18" x14ac:dyDescent="0.2">
      <c r="A22" s="89"/>
      <c r="B22" s="60" t="s">
        <v>6</v>
      </c>
      <c r="C22" s="5">
        <v>92.90466180503293</v>
      </c>
      <c r="D22" s="5">
        <v>92.576285261983244</v>
      </c>
      <c r="E22" s="5">
        <v>92.469101520486021</v>
      </c>
      <c r="F22" s="5">
        <v>90.667136682266573</v>
      </c>
      <c r="G22" s="5">
        <v>86.385868389864967</v>
      </c>
      <c r="H22" s="9">
        <v>70.341681156411397</v>
      </c>
      <c r="I22" s="4" cm="1">
        <f t="array" ref="I22">-SUMPRODUCT((D1:H1-C1:G1)*(C22:G22+D22:H22)/2)</f>
        <v>81.318443282381338</v>
      </c>
      <c r="J22" s="5" t="str">
        <f t="shared" si="2"/>
        <v xml:space="preserve">    92.9046618050329, 92.5762852619832, 92.469101520486, 90.6671366822666, 86.385868389865, 70.3416811564114,</v>
      </c>
      <c r="K22" s="89"/>
      <c r="L22" s="60" t="s">
        <v>6</v>
      </c>
      <c r="M22" s="5">
        <v>3.576588513898638</v>
      </c>
      <c r="N22" s="5">
        <v>3.6384489067435961</v>
      </c>
      <c r="O22" s="5">
        <v>3.4880286605455821</v>
      </c>
      <c r="P22" s="5">
        <v>3.9701665356541431</v>
      </c>
      <c r="Q22" s="5">
        <v>5.5319131411834084</v>
      </c>
      <c r="R22" s="9">
        <v>7.9689437293106389</v>
      </c>
    </row>
    <row r="23" spans="1:18" ht="14.25" customHeight="1" thickBot="1" x14ac:dyDescent="0.25">
      <c r="A23" s="90"/>
      <c r="B23" s="62" t="s">
        <v>7</v>
      </c>
      <c r="C23" s="22">
        <v>92.532008639059754</v>
      </c>
      <c r="D23" s="22">
        <v>92.511359671508131</v>
      </c>
      <c r="E23" s="22">
        <v>92.431794392685063</v>
      </c>
      <c r="F23" s="22">
        <v>89.802189753659917</v>
      </c>
      <c r="G23" s="22">
        <v>84.27001963684809</v>
      </c>
      <c r="H23" s="23">
        <v>69.728111834877453</v>
      </c>
      <c r="I23" s="4" cm="1">
        <f t="array" ref="I23">-SUMPRODUCT((D1:H1-C1:G1)*(C23:G23+D23:H23)/2)</f>
        <v>80.875230754591314</v>
      </c>
      <c r="J23" s="5" t="str">
        <f t="shared" si="2"/>
        <v xml:space="preserve">    92.5320086390598, 92.5113596715081, 92.4317943926851, 89.8021897536599, 84.2700196368481, 69.7281118348775,</v>
      </c>
      <c r="K23" s="90"/>
      <c r="L23" s="62" t="s">
        <v>7</v>
      </c>
      <c r="M23" s="22">
        <v>3.8648153044722311</v>
      </c>
      <c r="N23" s="22">
        <v>3.535077470212221</v>
      </c>
      <c r="O23" s="22">
        <v>3.6384347466350571</v>
      </c>
      <c r="P23" s="22">
        <v>3.8089521492813971</v>
      </c>
      <c r="Q23" s="22">
        <v>5.4822989134189646</v>
      </c>
      <c r="R23" s="23">
        <v>8.2183912200903393</v>
      </c>
    </row>
    <row r="24" spans="1:18" ht="15" thickBot="1" x14ac:dyDescent="0.25"/>
    <row r="25" spans="1:18" ht="15" thickBot="1" x14ac:dyDescent="0.25">
      <c r="A25" s="69" t="s">
        <v>26</v>
      </c>
      <c r="B25" s="65" t="s">
        <v>27</v>
      </c>
      <c r="C25" s="67">
        <v>1</v>
      </c>
      <c r="D25" s="67">
        <v>0.75</v>
      </c>
      <c r="E25" s="67">
        <v>0.5</v>
      </c>
      <c r="F25" s="67">
        <v>0.3</v>
      </c>
      <c r="G25" s="67">
        <v>0.2</v>
      </c>
      <c r="H25" s="65">
        <v>0.1</v>
      </c>
      <c r="I25" s="24"/>
      <c r="J25" s="25"/>
      <c r="K25" s="69" t="s">
        <v>28</v>
      </c>
      <c r="L25" s="65" t="s">
        <v>27</v>
      </c>
      <c r="M25" s="67">
        <v>1</v>
      </c>
      <c r="N25" s="67">
        <v>0.75</v>
      </c>
      <c r="O25" s="67">
        <v>0.5</v>
      </c>
      <c r="P25" s="67">
        <v>0.3</v>
      </c>
      <c r="Q25" s="67">
        <v>0.2</v>
      </c>
      <c r="R25" s="65">
        <v>0.1</v>
      </c>
    </row>
    <row r="26" spans="1:18" ht="15" thickBot="1" x14ac:dyDescent="0.25">
      <c r="A26" s="81" t="s">
        <v>22</v>
      </c>
      <c r="B26" s="82"/>
      <c r="C26" s="26">
        <v>92.567111769713335</v>
      </c>
      <c r="D26" s="26">
        <v>90.835858608343599</v>
      </c>
      <c r="E26" s="26">
        <v>89.217505339533233</v>
      </c>
      <c r="F26" s="26">
        <v>83.237245964288078</v>
      </c>
      <c r="G26" s="26">
        <v>75.380430844191011</v>
      </c>
      <c r="H26" s="27">
        <v>58.994367187597383</v>
      </c>
      <c r="I26" s="25"/>
      <c r="J26" s="25"/>
      <c r="K26" s="81" t="s">
        <v>22</v>
      </c>
      <c r="L26" s="82"/>
      <c r="M26" s="25">
        <v>3.88093621561358</v>
      </c>
      <c r="N26" s="25">
        <v>4.8164746829677396</v>
      </c>
      <c r="O26" s="25">
        <v>5.2250608386616522</v>
      </c>
      <c r="P26" s="25">
        <v>5.6675721086724113</v>
      </c>
      <c r="Q26" s="25">
        <v>8.3263283482936075</v>
      </c>
      <c r="R26" s="28">
        <v>10.49020927094638</v>
      </c>
    </row>
    <row r="27" spans="1:18" ht="15" thickBot="1" x14ac:dyDescent="0.25">
      <c r="A27" s="83" t="s">
        <v>16</v>
      </c>
      <c r="B27" s="84"/>
      <c r="C27" s="29">
        <v>89.091144513484792</v>
      </c>
      <c r="D27" s="30">
        <v>88.532444541621487</v>
      </c>
      <c r="E27" s="30">
        <v>87.091035968025309</v>
      </c>
      <c r="F27" s="30">
        <v>82.49212678195542</v>
      </c>
      <c r="G27" s="30">
        <v>78.404864197394232</v>
      </c>
      <c r="H27" s="31">
        <v>65.108004769341349</v>
      </c>
      <c r="I27" s="32"/>
      <c r="J27" s="25"/>
      <c r="K27" s="83" t="s">
        <v>16</v>
      </c>
      <c r="L27" s="84"/>
      <c r="M27" s="29">
        <v>5.8923539039658843</v>
      </c>
      <c r="N27" s="30">
        <v>6.3714672776132906</v>
      </c>
      <c r="O27" s="30">
        <v>7.2348097245896552</v>
      </c>
      <c r="P27" s="30">
        <v>10.84553275656566</v>
      </c>
      <c r="Q27" s="30">
        <v>12.817535883021769</v>
      </c>
      <c r="R27" s="31">
        <v>12.24400547643862</v>
      </c>
    </row>
    <row r="28" spans="1:18" ht="15" thickBot="1" x14ac:dyDescent="0.25">
      <c r="A28" s="83" t="s">
        <v>17</v>
      </c>
      <c r="B28" s="84"/>
      <c r="C28" s="29">
        <v>85.741374083226546</v>
      </c>
      <c r="D28" s="30">
        <v>85.804305125363982</v>
      </c>
      <c r="E28" s="30">
        <v>86.080704122689539</v>
      </c>
      <c r="F28" s="30">
        <v>85.543210676138614</v>
      </c>
      <c r="G28" s="30">
        <v>83.015709459310699</v>
      </c>
      <c r="H28" s="31">
        <v>72.552621372052599</v>
      </c>
      <c r="I28" s="32"/>
      <c r="J28" s="25"/>
      <c r="K28" s="83" t="s">
        <v>17</v>
      </c>
      <c r="L28" s="84"/>
      <c r="M28" s="29">
        <v>5.5691696587585708</v>
      </c>
      <c r="N28" s="30">
        <v>5.94594753688102</v>
      </c>
      <c r="O28" s="30">
        <v>6.1418944454331781</v>
      </c>
      <c r="P28" s="30">
        <v>7.2724316109064144</v>
      </c>
      <c r="Q28" s="30">
        <v>8.0003529649381697</v>
      </c>
      <c r="R28" s="31">
        <v>8.555663894113005</v>
      </c>
    </row>
    <row r="29" spans="1:18" ht="15" thickBot="1" x14ac:dyDescent="0.25">
      <c r="A29" s="68" t="s">
        <v>23</v>
      </c>
      <c r="B29" s="64" t="s">
        <v>14</v>
      </c>
      <c r="C29" s="36">
        <v>91.150185018145393</v>
      </c>
      <c r="D29" s="26">
        <v>90.66344543037772</v>
      </c>
      <c r="E29" s="26">
        <v>91.214547832455892</v>
      </c>
      <c r="F29" s="26">
        <v>89.231571189412421</v>
      </c>
      <c r="G29" s="26">
        <v>84.980466719185245</v>
      </c>
      <c r="H29" s="27">
        <v>67.96520669264342</v>
      </c>
      <c r="I29" s="25"/>
      <c r="J29" s="25"/>
      <c r="K29" s="68" t="s">
        <v>23</v>
      </c>
      <c r="L29" s="64" t="s">
        <v>14</v>
      </c>
      <c r="M29" s="36">
        <v>4.1975941752007664</v>
      </c>
      <c r="N29" s="26">
        <v>4.8503486283255048</v>
      </c>
      <c r="O29" s="26">
        <v>4.5194818596784581</v>
      </c>
      <c r="P29" s="26">
        <v>5.4908089139402074</v>
      </c>
      <c r="Q29" s="26">
        <v>5.7189247443035436</v>
      </c>
      <c r="R29" s="27">
        <v>9.7048299468359911</v>
      </c>
    </row>
    <row r="30" spans="1:18" ht="15" thickBot="1" x14ac:dyDescent="0.25">
      <c r="A30" s="68" t="s">
        <v>24</v>
      </c>
      <c r="B30" s="69" t="s">
        <v>14</v>
      </c>
      <c r="C30" s="36">
        <v>92.578767643112272</v>
      </c>
      <c r="D30" s="26">
        <v>90.805682970500385</v>
      </c>
      <c r="E30" s="26">
        <v>89.579653001499864</v>
      </c>
      <c r="F30" s="26">
        <v>87.339441882301443</v>
      </c>
      <c r="G30" s="26">
        <v>83.066901517151223</v>
      </c>
      <c r="H30" s="27">
        <v>71.204247790888218</v>
      </c>
      <c r="I30" s="25"/>
      <c r="J30" s="25"/>
      <c r="K30" s="68" t="s">
        <v>24</v>
      </c>
      <c r="L30" s="69" t="s">
        <v>14</v>
      </c>
      <c r="M30" s="36">
        <v>3.7226719428771933</v>
      </c>
      <c r="N30" s="26">
        <v>4.4500612276713989</v>
      </c>
      <c r="O30" s="26">
        <v>5.1740468516560956</v>
      </c>
      <c r="P30" s="26">
        <v>5.4342914409914789</v>
      </c>
      <c r="Q30" s="26">
        <v>6.609985573128915</v>
      </c>
      <c r="R30" s="27">
        <v>7.9502861347038616</v>
      </c>
    </row>
    <row r="31" spans="1:18" ht="15" thickBot="1" x14ac:dyDescent="0.25">
      <c r="A31" s="37"/>
      <c r="B31" s="38"/>
      <c r="C31" s="49"/>
      <c r="D31" s="49"/>
      <c r="E31" s="49"/>
      <c r="F31" s="49"/>
      <c r="G31" s="49"/>
      <c r="H31" s="50"/>
      <c r="I31" s="40"/>
      <c r="J31" s="25"/>
      <c r="K31" s="37"/>
      <c r="L31" s="38"/>
      <c r="M31" s="49"/>
      <c r="N31" s="49"/>
      <c r="O31" s="49"/>
      <c r="P31" s="49"/>
      <c r="Q31" s="49"/>
      <c r="R31" s="50"/>
    </row>
    <row r="32" spans="1:18" ht="15" thickBot="1" x14ac:dyDescent="0.25">
      <c r="A32" s="91" t="s">
        <v>19</v>
      </c>
      <c r="B32" s="92"/>
      <c r="C32" s="92"/>
      <c r="D32" s="92"/>
      <c r="E32" s="92"/>
      <c r="F32" s="92"/>
      <c r="G32" s="92"/>
      <c r="H32" s="93"/>
      <c r="I32" s="24"/>
      <c r="J32" s="25"/>
      <c r="K32" s="91" t="s">
        <v>19</v>
      </c>
      <c r="L32" s="92"/>
      <c r="M32" s="92"/>
      <c r="N32" s="92"/>
      <c r="O32" s="92"/>
      <c r="P32" s="92"/>
      <c r="Q32" s="92"/>
      <c r="R32" s="93"/>
    </row>
    <row r="33" spans="1:18" x14ac:dyDescent="0.2">
      <c r="A33" s="94" t="s">
        <v>0</v>
      </c>
      <c r="B33" s="70" t="s">
        <v>1</v>
      </c>
      <c r="C33" s="33">
        <v>92.820738792005557</v>
      </c>
      <c r="D33" s="34">
        <v>91.960076103634933</v>
      </c>
      <c r="E33" s="34">
        <v>90.623611228667414</v>
      </c>
      <c r="F33" s="34">
        <v>87.147401908523506</v>
      </c>
      <c r="G33" s="34">
        <v>80.684883446065982</v>
      </c>
      <c r="H33" s="35">
        <v>60.433547736945336</v>
      </c>
      <c r="I33" s="25"/>
      <c r="J33" s="25"/>
      <c r="K33" s="94" t="s">
        <v>0</v>
      </c>
      <c r="L33" s="70" t="s">
        <v>1</v>
      </c>
      <c r="M33" s="33">
        <v>3.9832785287226642</v>
      </c>
      <c r="N33" s="34">
        <v>4.384481875563857</v>
      </c>
      <c r="O33" s="34">
        <v>4.3933682019589702</v>
      </c>
      <c r="P33" s="34">
        <v>5.7258360206959802</v>
      </c>
      <c r="Q33" s="34">
        <v>7.9571441032328494</v>
      </c>
      <c r="R33" s="35">
        <v>11.156546553337531</v>
      </c>
    </row>
    <row r="34" spans="1:18" x14ac:dyDescent="0.2">
      <c r="A34" s="95"/>
      <c r="B34" s="71" t="s">
        <v>2</v>
      </c>
      <c r="C34" s="41">
        <v>92.843284190023084</v>
      </c>
      <c r="D34" s="25">
        <v>91.856981164968985</v>
      </c>
      <c r="E34" s="25">
        <v>90.615255157299202</v>
      </c>
      <c r="F34" s="25">
        <v>87.929534075502005</v>
      </c>
      <c r="G34" s="25">
        <v>80.29266389685057</v>
      </c>
      <c r="H34" s="28">
        <v>61.564100332848938</v>
      </c>
      <c r="I34" s="25"/>
      <c r="J34" s="25"/>
      <c r="K34" s="95"/>
      <c r="L34" s="71" t="s">
        <v>2</v>
      </c>
      <c r="M34" s="41">
        <v>4.2026089477592938</v>
      </c>
      <c r="N34" s="25">
        <v>4.7417739073745873</v>
      </c>
      <c r="O34" s="25">
        <v>4.6885884019912742</v>
      </c>
      <c r="P34" s="25">
        <v>5.8474095435593307</v>
      </c>
      <c r="Q34" s="25">
        <v>8.5718488634529457</v>
      </c>
      <c r="R34" s="28">
        <v>10.618665895845737</v>
      </c>
    </row>
    <row r="35" spans="1:18" x14ac:dyDescent="0.2">
      <c r="A35" s="95"/>
      <c r="B35" s="71" t="s">
        <v>3</v>
      </c>
      <c r="C35" s="41">
        <v>92.887247493957162</v>
      </c>
      <c r="D35" s="25">
        <v>92.526360568571377</v>
      </c>
      <c r="E35" s="25">
        <v>92.335985990442964</v>
      </c>
      <c r="F35" s="25">
        <v>91.21192788290432</v>
      </c>
      <c r="G35" s="25">
        <v>84.049989944177668</v>
      </c>
      <c r="H35" s="28">
        <v>57.414776662034065</v>
      </c>
      <c r="I35" s="25"/>
      <c r="J35" s="25"/>
      <c r="K35" s="95"/>
      <c r="L35" s="71" t="s">
        <v>3</v>
      </c>
      <c r="M35" s="41">
        <v>4.0514903154179436</v>
      </c>
      <c r="N35" s="25">
        <v>3.9219831925012953</v>
      </c>
      <c r="O35" s="25">
        <v>4.2608980592918222</v>
      </c>
      <c r="P35" s="25">
        <v>4.507750995529622</v>
      </c>
      <c r="Q35" s="25">
        <v>6.950345110192127</v>
      </c>
      <c r="R35" s="28">
        <v>10.916767692216204</v>
      </c>
    </row>
    <row r="36" spans="1:18" x14ac:dyDescent="0.2">
      <c r="A36" s="95"/>
      <c r="B36" s="71" t="s">
        <v>4</v>
      </c>
      <c r="C36" s="41">
        <v>92.843190256650004</v>
      </c>
      <c r="D36" s="25">
        <v>92.587016305792119</v>
      </c>
      <c r="E36" s="25">
        <v>92.099608766333958</v>
      </c>
      <c r="F36" s="25">
        <v>90.524299230603347</v>
      </c>
      <c r="G36" s="25">
        <v>83.646426779948698</v>
      </c>
      <c r="H36" s="28">
        <v>60.416105838288168</v>
      </c>
      <c r="I36" s="25"/>
      <c r="J36" s="25"/>
      <c r="K36" s="95"/>
      <c r="L36" s="71" t="s">
        <v>4</v>
      </c>
      <c r="M36" s="41">
        <v>3.6611286672079411</v>
      </c>
      <c r="N36" s="25">
        <v>3.8332247685167258</v>
      </c>
      <c r="O36" s="25">
        <v>4.0987820655435705</v>
      </c>
      <c r="P36" s="25">
        <v>4.7008877850217017</v>
      </c>
      <c r="Q36" s="25">
        <v>7.5205052811091608</v>
      </c>
      <c r="R36" s="28">
        <v>10.841519627091911</v>
      </c>
    </row>
    <row r="37" spans="1:18" x14ac:dyDescent="0.2">
      <c r="A37" s="95"/>
      <c r="B37" s="71" t="s">
        <v>5</v>
      </c>
      <c r="C37" s="41">
        <v>93.155419737732046</v>
      </c>
      <c r="D37" s="25">
        <v>92.891252101569421</v>
      </c>
      <c r="E37" s="25">
        <v>92.354820431535103</v>
      </c>
      <c r="F37" s="25">
        <v>89.262237664911709</v>
      </c>
      <c r="G37" s="25">
        <v>83.817415142302622</v>
      </c>
      <c r="H37" s="28">
        <v>62.583030132951436</v>
      </c>
      <c r="I37" s="25"/>
      <c r="J37" s="25"/>
      <c r="K37" s="95"/>
      <c r="L37" s="71" t="s">
        <v>5</v>
      </c>
      <c r="M37" s="41">
        <v>3.8707101747526216</v>
      </c>
      <c r="N37" s="25">
        <v>4.3079284051136435</v>
      </c>
      <c r="O37" s="25">
        <v>4.4205356766114763</v>
      </c>
      <c r="P37" s="25">
        <v>5.3097950223237715</v>
      </c>
      <c r="Q37" s="25">
        <v>6.7759657284130972</v>
      </c>
      <c r="R37" s="28">
        <v>11.798403704025185</v>
      </c>
    </row>
    <row r="38" spans="1:18" x14ac:dyDescent="0.2">
      <c r="A38" s="95"/>
      <c r="B38" s="71" t="s">
        <v>6</v>
      </c>
      <c r="C38" s="41">
        <v>92.821279056315362</v>
      </c>
      <c r="D38" s="25">
        <v>92.733480621303571</v>
      </c>
      <c r="E38" s="25">
        <v>92.203500219400965</v>
      </c>
      <c r="F38" s="25">
        <v>91.071302925601856</v>
      </c>
      <c r="G38" s="25">
        <v>85.612815475594061</v>
      </c>
      <c r="H38" s="28">
        <v>58.992680230672832</v>
      </c>
      <c r="I38" s="25"/>
      <c r="J38" s="25"/>
      <c r="K38" s="95"/>
      <c r="L38" s="71" t="s">
        <v>6</v>
      </c>
      <c r="M38" s="41">
        <v>3.654167143417371</v>
      </c>
      <c r="N38" s="25">
        <v>3.872585567952481</v>
      </c>
      <c r="O38" s="25">
        <v>4.0466276106990549</v>
      </c>
      <c r="P38" s="25">
        <v>4.8526676778723434</v>
      </c>
      <c r="Q38" s="25">
        <v>6.1913517121362496</v>
      </c>
      <c r="R38" s="28">
        <v>10.091912686159521</v>
      </c>
    </row>
    <row r="39" spans="1:18" ht="15" thickBot="1" x14ac:dyDescent="0.25">
      <c r="A39" s="96"/>
      <c r="B39" s="66" t="s">
        <v>7</v>
      </c>
      <c r="C39" s="42">
        <v>93.243833233650619</v>
      </c>
      <c r="D39" s="43">
        <v>92.244152662300351</v>
      </c>
      <c r="E39" s="43">
        <v>91.779399224683033</v>
      </c>
      <c r="F39" s="43">
        <v>88.942376530063612</v>
      </c>
      <c r="G39" s="43">
        <v>84.074415427072154</v>
      </c>
      <c r="H39" s="44">
        <v>63.593677785045287</v>
      </c>
      <c r="I39" s="25"/>
      <c r="J39" s="25"/>
      <c r="K39" s="96"/>
      <c r="L39" s="66" t="s">
        <v>7</v>
      </c>
      <c r="M39" s="42">
        <v>3.8779021026816878</v>
      </c>
      <c r="N39" s="43">
        <v>5.459933038676585</v>
      </c>
      <c r="O39" s="43">
        <v>4.314698164495594</v>
      </c>
      <c r="P39" s="43">
        <v>5.2914242658912007</v>
      </c>
      <c r="Q39" s="43">
        <v>7.0686449776166889</v>
      </c>
      <c r="R39" s="44">
        <v>12.320009696250258</v>
      </c>
    </row>
    <row r="40" spans="1:18" ht="15" thickBot="1" x14ac:dyDescent="0.25">
      <c r="A40" s="41"/>
      <c r="B40" s="25"/>
      <c r="C40" s="25"/>
      <c r="D40" s="25"/>
      <c r="E40" s="25"/>
      <c r="F40" s="25"/>
      <c r="G40" s="25"/>
      <c r="H40" s="28"/>
      <c r="I40" s="25"/>
      <c r="J40" s="25"/>
      <c r="K40" s="41"/>
      <c r="L40" s="25"/>
      <c r="M40" s="25"/>
      <c r="N40" s="25"/>
      <c r="O40" s="25"/>
      <c r="P40" s="25"/>
      <c r="Q40" s="25"/>
      <c r="R40" s="28"/>
    </row>
    <row r="41" spans="1:18" ht="14.25" customHeight="1" thickBot="1" x14ac:dyDescent="0.25">
      <c r="A41" s="91" t="s">
        <v>18</v>
      </c>
      <c r="B41" s="92"/>
      <c r="C41" s="92"/>
      <c r="D41" s="92"/>
      <c r="E41" s="92"/>
      <c r="F41" s="92"/>
      <c r="G41" s="92"/>
      <c r="H41" s="93"/>
      <c r="I41" s="24"/>
      <c r="J41" s="25"/>
      <c r="K41" s="91" t="s">
        <v>18</v>
      </c>
      <c r="L41" s="92"/>
      <c r="M41" s="92"/>
      <c r="N41" s="92"/>
      <c r="O41" s="92"/>
      <c r="P41" s="92"/>
      <c r="Q41" s="92"/>
      <c r="R41" s="93"/>
    </row>
    <row r="42" spans="1:18" ht="14.25" customHeight="1" x14ac:dyDescent="0.2">
      <c r="A42" s="94" t="s">
        <v>0</v>
      </c>
      <c r="B42" s="70" t="s">
        <v>1</v>
      </c>
      <c r="C42" s="33">
        <v>92.247186116496749</v>
      </c>
      <c r="D42" s="34">
        <v>91.597884605320203</v>
      </c>
      <c r="E42" s="34">
        <v>91.511680603905845</v>
      </c>
      <c r="F42" s="34">
        <v>89.06343871798687</v>
      </c>
      <c r="G42" s="34">
        <v>81.057166591460046</v>
      </c>
      <c r="H42" s="35">
        <v>62.491303085185713</v>
      </c>
      <c r="I42" s="25"/>
      <c r="J42" s="25"/>
      <c r="K42" s="94" t="s">
        <v>0</v>
      </c>
      <c r="L42" s="70" t="s">
        <v>1</v>
      </c>
      <c r="M42" s="33">
        <v>3.9865771746241632</v>
      </c>
      <c r="N42" s="34">
        <v>4.5536660342110613</v>
      </c>
      <c r="O42" s="34">
        <v>4.2864648182838208</v>
      </c>
      <c r="P42" s="34">
        <v>4.8749175943812801</v>
      </c>
      <c r="Q42" s="34">
        <v>6.6195690033276033</v>
      </c>
      <c r="R42" s="35">
        <v>9.9975260632023684</v>
      </c>
    </row>
    <row r="43" spans="1:18" ht="14.25" customHeight="1" x14ac:dyDescent="0.2">
      <c r="A43" s="95"/>
      <c r="B43" s="71" t="s">
        <v>2</v>
      </c>
      <c r="C43" s="41">
        <v>92.563160936089858</v>
      </c>
      <c r="D43" s="25">
        <v>91.671343853121428</v>
      </c>
      <c r="E43" s="25">
        <v>90.948470471508386</v>
      </c>
      <c r="F43" s="25">
        <v>87.250446788778675</v>
      </c>
      <c r="G43" s="25">
        <v>80.245135880766256</v>
      </c>
      <c r="H43" s="28">
        <v>67.618957114876295</v>
      </c>
      <c r="I43" s="25"/>
      <c r="J43" s="25"/>
      <c r="K43" s="95"/>
      <c r="L43" s="71" t="s">
        <v>2</v>
      </c>
      <c r="M43" s="41">
        <v>4.1570380941436529</v>
      </c>
      <c r="N43" s="25">
        <v>4.4322456207651824</v>
      </c>
      <c r="O43" s="25">
        <v>4.2573142592404345</v>
      </c>
      <c r="P43" s="25">
        <v>4.9623460503589669</v>
      </c>
      <c r="Q43" s="25">
        <v>6.4761990460733738</v>
      </c>
      <c r="R43" s="28">
        <v>8.2894024682649388</v>
      </c>
    </row>
    <row r="44" spans="1:18" ht="14.25" customHeight="1" x14ac:dyDescent="0.2">
      <c r="A44" s="95"/>
      <c r="B44" s="71" t="s">
        <v>3</v>
      </c>
      <c r="C44" s="41">
        <v>92.54556139569759</v>
      </c>
      <c r="D44" s="25">
        <v>92.097749123542997</v>
      </c>
      <c r="E44" s="25">
        <v>91.149446409986609</v>
      </c>
      <c r="F44" s="25">
        <v>90.378692861325263</v>
      </c>
      <c r="G44" s="25">
        <v>86.31037090347165</v>
      </c>
      <c r="H44" s="28">
        <v>69.052071672901974</v>
      </c>
      <c r="I44" s="25"/>
      <c r="J44" s="25"/>
      <c r="K44" s="95"/>
      <c r="L44" s="71" t="s">
        <v>3</v>
      </c>
      <c r="M44" s="41">
        <v>3.8704157166302662</v>
      </c>
      <c r="N44" s="25">
        <v>4.0030091744950544</v>
      </c>
      <c r="O44" s="25">
        <v>4.4384106113763231</v>
      </c>
      <c r="P44" s="25">
        <v>3.896528380448768</v>
      </c>
      <c r="Q44" s="25">
        <v>5.8710282292811753</v>
      </c>
      <c r="R44" s="28">
        <v>8.8278448465735444</v>
      </c>
    </row>
    <row r="45" spans="1:18" ht="14.25" customHeight="1" x14ac:dyDescent="0.2">
      <c r="A45" s="95"/>
      <c r="B45" s="71" t="s">
        <v>4</v>
      </c>
      <c r="C45" s="41">
        <v>91.108963215218992</v>
      </c>
      <c r="D45" s="25">
        <v>91.422451190382446</v>
      </c>
      <c r="E45" s="25">
        <v>91.028164807377692</v>
      </c>
      <c r="F45" s="25">
        <v>90.92155498404928</v>
      </c>
      <c r="G45" s="25">
        <v>88.366911725212944</v>
      </c>
      <c r="H45" s="28">
        <v>69.467496738004868</v>
      </c>
      <c r="I45" s="25"/>
      <c r="J45" s="25"/>
      <c r="K45" s="95"/>
      <c r="L45" s="71" t="s">
        <v>4</v>
      </c>
      <c r="M45" s="41">
        <v>4.5721711205283091</v>
      </c>
      <c r="N45" s="25">
        <v>4.2450282469621561</v>
      </c>
      <c r="O45" s="25">
        <v>4.9010444377823665</v>
      </c>
      <c r="P45" s="25">
        <v>4.7536885250114933</v>
      </c>
      <c r="Q45" s="25">
        <v>5.7319162671252464</v>
      </c>
      <c r="R45" s="28">
        <v>8.5643761177203679</v>
      </c>
    </row>
    <row r="46" spans="1:18" ht="14.25" customHeight="1" x14ac:dyDescent="0.2">
      <c r="A46" s="95"/>
      <c r="B46" s="71" t="s">
        <v>5</v>
      </c>
      <c r="C46" s="41">
        <v>91.985002113747967</v>
      </c>
      <c r="D46" s="25">
        <v>91.844115733099713</v>
      </c>
      <c r="E46" s="25">
        <v>90.74276089064449</v>
      </c>
      <c r="F46" s="25">
        <v>86.637468540622294</v>
      </c>
      <c r="G46" s="25">
        <v>80.087169822335198</v>
      </c>
      <c r="H46" s="28">
        <v>67.923665484357144</v>
      </c>
      <c r="I46" s="25"/>
      <c r="J46" s="25"/>
      <c r="K46" s="95"/>
      <c r="L46" s="71" t="s">
        <v>5</v>
      </c>
      <c r="M46" s="41">
        <v>4.584242690959452</v>
      </c>
      <c r="N46" s="25">
        <v>4.2746031503783293</v>
      </c>
      <c r="O46" s="25">
        <v>4.5095381636640219</v>
      </c>
      <c r="P46" s="25">
        <v>5.3683537882268819</v>
      </c>
      <c r="Q46" s="25">
        <v>5.8185190400296554</v>
      </c>
      <c r="R46" s="28">
        <v>8.023787622820107</v>
      </c>
    </row>
    <row r="47" spans="1:18" ht="14.25" customHeight="1" x14ac:dyDescent="0.2">
      <c r="A47" s="95"/>
      <c r="B47" s="71" t="s">
        <v>6</v>
      </c>
      <c r="C47" s="41">
        <v>92.468180366104363</v>
      </c>
      <c r="D47" s="25">
        <v>92.104677053061693</v>
      </c>
      <c r="E47" s="25">
        <v>91.973737069414582</v>
      </c>
      <c r="F47" s="25">
        <v>90.231180372644104</v>
      </c>
      <c r="G47" s="25">
        <v>85.680389069387402</v>
      </c>
      <c r="H47" s="28">
        <v>69.611797784660126</v>
      </c>
      <c r="I47" s="25"/>
      <c r="J47" s="25"/>
      <c r="K47" s="95"/>
      <c r="L47" s="71" t="s">
        <v>6</v>
      </c>
      <c r="M47" s="41">
        <v>3.9609796946315146</v>
      </c>
      <c r="N47" s="25">
        <v>4.0190161872002168</v>
      </c>
      <c r="O47" s="25">
        <v>3.83425635153686</v>
      </c>
      <c r="P47" s="25">
        <v>4.2952439764306201</v>
      </c>
      <c r="Q47" s="25">
        <v>6.136495380553578</v>
      </c>
      <c r="R47" s="28">
        <v>8.317066252642471</v>
      </c>
    </row>
    <row r="48" spans="1:18" ht="14.25" customHeight="1" thickBot="1" x14ac:dyDescent="0.25">
      <c r="A48" s="96"/>
      <c r="B48" s="66" t="s">
        <v>7</v>
      </c>
      <c r="C48" s="42">
        <v>92.006101323789679</v>
      </c>
      <c r="D48" s="43">
        <v>92.057603652163365</v>
      </c>
      <c r="E48" s="43">
        <v>92.049664666397604</v>
      </c>
      <c r="F48" s="43">
        <v>89.263858115450276</v>
      </c>
      <c r="G48" s="43">
        <v>83.628927365360866</v>
      </c>
      <c r="H48" s="44">
        <v>68.726628807646634</v>
      </c>
      <c r="I48" s="25"/>
      <c r="J48" s="25"/>
      <c r="K48" s="96"/>
      <c r="L48" s="66" t="s">
        <v>7</v>
      </c>
      <c r="M48" s="42">
        <v>4.2420719970357412</v>
      </c>
      <c r="N48" s="43">
        <v>3.8504360503285158</v>
      </c>
      <c r="O48" s="43">
        <v>3.9845265645291157</v>
      </c>
      <c r="P48" s="43">
        <v>4.1886516625012451</v>
      </c>
      <c r="Q48" s="43">
        <v>5.801232311545804</v>
      </c>
      <c r="R48" s="44">
        <v>8.6400942521937498</v>
      </c>
    </row>
    <row r="51" spans="4:9" x14ac:dyDescent="0.2">
      <c r="D51"/>
      <c r="E51"/>
      <c r="F51"/>
      <c r="G51"/>
      <c r="H51"/>
      <c r="I51"/>
    </row>
    <row r="55" spans="4:9" x14ac:dyDescent="0.2">
      <c r="D55"/>
      <c r="E55"/>
      <c r="F55"/>
      <c r="G55"/>
      <c r="H55"/>
      <c r="I55"/>
    </row>
  </sheetData>
  <mergeCells count="28">
    <mergeCell ref="A2:B2"/>
    <mergeCell ref="K2:L2"/>
    <mergeCell ref="A3:B3"/>
    <mergeCell ref="K3:L3"/>
    <mergeCell ref="A8:H8"/>
    <mergeCell ref="K8:R8"/>
    <mergeCell ref="A41:H41"/>
    <mergeCell ref="K41:R41"/>
    <mergeCell ref="A42:A48"/>
    <mergeCell ref="K42:K48"/>
    <mergeCell ref="A32:H32"/>
    <mergeCell ref="K32:R32"/>
    <mergeCell ref="A33:A39"/>
    <mergeCell ref="K33:K39"/>
    <mergeCell ref="A27:B27"/>
    <mergeCell ref="K27:L27"/>
    <mergeCell ref="A4:B4"/>
    <mergeCell ref="K4:L4"/>
    <mergeCell ref="A28:B28"/>
    <mergeCell ref="K28:L28"/>
    <mergeCell ref="A16:H16"/>
    <mergeCell ref="K16:R16"/>
    <mergeCell ref="A17:A23"/>
    <mergeCell ref="K17:K23"/>
    <mergeCell ref="A26:B26"/>
    <mergeCell ref="K26:L26"/>
    <mergeCell ref="A9:A15"/>
    <mergeCell ref="K9:K15"/>
  </mergeCells>
  <phoneticPr fontId="1" type="noConversion"/>
  <conditionalFormatting sqref="A3:A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:B2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9:B3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H32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1:H4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23 C5:H6">
    <cfRule type="colorScale" priority="9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5">
    <cfRule type="colorScale" priority="9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2:H6 C9:H15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9:H15 C2:H6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I2:I23 C2:H3 C5:H7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">
    <cfRule type="colorScale" priority="3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3:I23">
    <cfRule type="colorScale" priority="9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I23 C9:I15 C2:I6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3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 C2:H3 C5:H7">
    <cfRule type="colorScale" priority="10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">
    <cfRule type="colorScale" priority="10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2:I19 I8:I10 I5:I6 C5:H7 I21:I23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:I23 I9:I15 I2:I6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:L2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:L3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2:R3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1:R41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E9A6-44A8-4B2A-B5D2-D44F7D1C4E03}">
  <dimension ref="A1:R42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55" t="s">
        <v>20</v>
      </c>
      <c r="B1" s="52" t="s">
        <v>21</v>
      </c>
      <c r="C1" s="51">
        <v>1</v>
      </c>
      <c r="D1" s="53">
        <v>0.75</v>
      </c>
      <c r="E1" s="53">
        <v>0.5</v>
      </c>
      <c r="F1" s="53">
        <v>0.3</v>
      </c>
      <c r="G1" s="53">
        <v>0.2</v>
      </c>
      <c r="H1" s="52">
        <v>0.1</v>
      </c>
      <c r="I1" s="56" t="s">
        <v>15</v>
      </c>
      <c r="J1" s="57"/>
      <c r="K1" s="55" t="s">
        <v>25</v>
      </c>
      <c r="L1" s="52" t="s">
        <v>21</v>
      </c>
      <c r="M1" s="51">
        <v>1</v>
      </c>
      <c r="N1" s="53">
        <v>0.75</v>
      </c>
      <c r="O1" s="53">
        <v>0.5</v>
      </c>
      <c r="P1" s="53">
        <v>0.3</v>
      </c>
      <c r="Q1" s="53">
        <v>0.2</v>
      </c>
      <c r="R1" s="52">
        <v>0.1</v>
      </c>
    </row>
    <row r="2" spans="1:18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8">
        <v>60.40277741733636</v>
      </c>
      <c r="I2" s="4" cm="1">
        <f t="array" ref="I2">-SUMPRODUCT((D1:H1-C1:G1)*(C2:G2+D2:H2)/2)</f>
        <v>77.879927234087958</v>
      </c>
      <c r="J2" s="5" t="str">
        <f>"    "&amp;_xlfn.TEXTJOIN(", ",TRUE,C2:H2)&amp;","</f>
        <v xml:space="preserve">    93.1013647753585, 91.3266637254648, 89.7225610371485, 83.857204647099, 76.2429490451186, 60.4027774173364,</v>
      </c>
      <c r="K2" s="78" t="s">
        <v>22</v>
      </c>
      <c r="L2" s="79"/>
      <c r="M2" s="5">
        <v>3.4649270444699574</v>
      </c>
      <c r="N2" s="5">
        <v>4.4611797621615326</v>
      </c>
      <c r="O2" s="5">
        <v>4.7712065248821434</v>
      </c>
      <c r="P2" s="5">
        <v>5.3965689103010375</v>
      </c>
      <c r="Q2" s="5">
        <v>7.9323757260741923</v>
      </c>
      <c r="R2" s="9">
        <v>9.9900413492801565</v>
      </c>
    </row>
    <row r="3" spans="1:18" ht="15" thickBot="1" x14ac:dyDescent="0.25">
      <c r="A3" s="78" t="s">
        <v>16</v>
      </c>
      <c r="B3" s="80"/>
      <c r="C3" s="10">
        <v>88.992361525618733</v>
      </c>
      <c r="D3" s="11">
        <v>88.670709377532091</v>
      </c>
      <c r="E3" s="11">
        <v>87.469689760868761</v>
      </c>
      <c r="F3" s="11">
        <v>83.744769995126845</v>
      </c>
      <c r="G3" s="11">
        <v>80.542625801261238</v>
      </c>
      <c r="H3" s="12">
        <v>69.172279460318279</v>
      </c>
      <c r="I3" s="4" cm="1">
        <f t="array" ref="I3">-SUMPRODUCT((D1:H1-C1:G1)*(C3:G3+D3:H3)/2)</f>
        <v>77.046994783691915</v>
      </c>
      <c r="J3" s="5" t="str">
        <f t="shared" ref="J3:J6" si="0">"    "&amp;_xlfn.TEXTJOIN(", ",TRUE,C3:H3)&amp;","</f>
        <v xml:space="preserve">    88.9923615256187, 88.6707093775321, 87.4696897608688, 83.7447699951268, 80.5426258012612, 69.1722794603183,</v>
      </c>
      <c r="K3" s="78" t="s">
        <v>16</v>
      </c>
      <c r="L3" s="80"/>
      <c r="M3" s="10">
        <v>6.9511270881584188</v>
      </c>
      <c r="N3" s="11">
        <v>7.2986078225488971</v>
      </c>
      <c r="O3" s="11">
        <v>7.5191342402669106</v>
      </c>
      <c r="P3" s="11">
        <v>9.2258385706987482</v>
      </c>
      <c r="Q3" s="11">
        <v>11.882485581755009</v>
      </c>
      <c r="R3" s="12">
        <v>10.72019303428387</v>
      </c>
    </row>
    <row r="4" spans="1:18" ht="15" thickBot="1" x14ac:dyDescent="0.25">
      <c r="A4" s="78" t="s">
        <v>17</v>
      </c>
      <c r="B4" s="80"/>
      <c r="C4" s="10">
        <v>86.516927770424758</v>
      </c>
      <c r="D4" s="11">
        <v>86.665680498966239</v>
      </c>
      <c r="E4" s="11">
        <v>86.853539678832277</v>
      </c>
      <c r="F4" s="11">
        <v>86.371978419651853</v>
      </c>
      <c r="G4" s="11">
        <v>83.995380582877019</v>
      </c>
      <c r="H4" s="12">
        <v>73.781566737889904</v>
      </c>
      <c r="I4" s="4" cm="1">
        <f t="array" ref="I4">-SUMPRODUCT((D1:H1-C1:G1)*(C4:G4+D4:H4)/2)</f>
        <v>77.067495681911893</v>
      </c>
      <c r="J4" s="5" t="str">
        <f t="shared" si="0"/>
        <v xml:space="preserve">    86.5169277704248, 86.6656804989662, 86.8535396788323, 86.3719784196519, 83.995380582877, 73.7815667378899,</v>
      </c>
      <c r="K4" s="78" t="s">
        <v>17</v>
      </c>
      <c r="L4" s="80"/>
      <c r="M4" s="10">
        <v>5.1834070986462946</v>
      </c>
      <c r="N4" s="11">
        <v>5.4365736893662229</v>
      </c>
      <c r="O4" s="11">
        <v>5.6612603122177596</v>
      </c>
      <c r="P4" s="11">
        <v>6.6117141447354983</v>
      </c>
      <c r="Q4" s="11">
        <v>7.1270112868271411</v>
      </c>
      <c r="R4" s="12">
        <v>7.8068089369480687</v>
      </c>
    </row>
    <row r="5" spans="1:18" ht="15" thickBot="1" x14ac:dyDescent="0.25">
      <c r="A5" s="54" t="s">
        <v>23</v>
      </c>
      <c r="B5" s="51" t="s">
        <v>14</v>
      </c>
      <c r="C5" s="13">
        <v>91.64639832524503</v>
      </c>
      <c r="D5" s="14">
        <v>91.179326810785568</v>
      </c>
      <c r="E5" s="14">
        <v>91.670876622346796</v>
      </c>
      <c r="F5" s="14">
        <v>89.829672690363537</v>
      </c>
      <c r="G5" s="14">
        <v>85.619887138585383</v>
      </c>
      <c r="H5" s="15">
        <v>69.221515757056721</v>
      </c>
      <c r="I5" s="4" cm="1">
        <f t="array" ref="I5">-SUMPRODUCT((D1:H1-C1:G1)*(C5:G5+D5:H5)/2)</f>
        <v>80.374094138645958</v>
      </c>
      <c r="J5" s="5" t="str">
        <f t="shared" si="0"/>
        <v xml:space="preserve">    91.646398325245, 91.1793268107856, 91.6708766223468, 89.8296726903635, 85.6198871385854, 69.2215157570567,</v>
      </c>
      <c r="K5" s="54" t="s">
        <v>23</v>
      </c>
      <c r="L5" s="51" t="s">
        <v>14</v>
      </c>
      <c r="M5" s="13">
        <v>3.8158990664547532</v>
      </c>
      <c r="N5" s="14">
        <v>4.5040663242822507</v>
      </c>
      <c r="O5" s="14">
        <v>4.1493883345065337</v>
      </c>
      <c r="P5" s="14">
        <v>5.0212741784737993</v>
      </c>
      <c r="Q5" s="14">
        <v>5.447400525219539</v>
      </c>
      <c r="R5" s="15">
        <v>9.346952550820161</v>
      </c>
    </row>
    <row r="6" spans="1:18" ht="15" thickBot="1" x14ac:dyDescent="0.25">
      <c r="A6" s="54" t="s">
        <v>24</v>
      </c>
      <c r="B6" s="55" t="s">
        <v>14</v>
      </c>
      <c r="C6" s="13">
        <v>93.116027531956703</v>
      </c>
      <c r="D6" s="14">
        <v>91.309947894589612</v>
      </c>
      <c r="E6" s="14">
        <v>90.321735770493973</v>
      </c>
      <c r="F6" s="14">
        <v>88.298927038007832</v>
      </c>
      <c r="G6" s="14">
        <v>83.975504401710495</v>
      </c>
      <c r="H6" s="15">
        <v>72.463865027667495</v>
      </c>
      <c r="I6" s="4" cm="1">
        <f t="array" ref="I6">-SUMPRODUCT((D1:H1-C1:G1)*(C6:G6+D6:H6)/2)</f>
        <v>80.054963710758727</v>
      </c>
      <c r="J6" s="5" t="str">
        <f t="shared" si="0"/>
        <v xml:space="preserve">    93.1160275319567, 91.3099478945896, 90.321735770494, 88.2989270380078, 83.9755044017105, 72.4638650276675,</v>
      </c>
      <c r="K6" s="54" t="s">
        <v>24</v>
      </c>
      <c r="L6" s="55" t="s">
        <v>14</v>
      </c>
      <c r="M6" s="13">
        <v>3.2979076919592401</v>
      </c>
      <c r="N6" s="14">
        <v>4.0767052962517498</v>
      </c>
      <c r="O6" s="14">
        <v>4.6663156461728947</v>
      </c>
      <c r="P6" s="14">
        <v>4.8727240910787302</v>
      </c>
      <c r="Q6" s="14">
        <v>5.9672818964393297</v>
      </c>
      <c r="R6" s="15">
        <v>7.6275422250546434</v>
      </c>
    </row>
    <row r="7" spans="1:18" ht="15" thickBot="1" x14ac:dyDescent="0.25">
      <c r="A7" s="3"/>
      <c r="B7" s="7"/>
      <c r="C7" s="16"/>
      <c r="D7" s="16"/>
      <c r="E7" s="16"/>
      <c r="F7" s="16"/>
      <c r="G7" s="16"/>
      <c r="H7" s="17"/>
      <c r="I7" s="4"/>
      <c r="J7" s="5"/>
      <c r="K7" s="3"/>
      <c r="L7" s="7"/>
      <c r="M7" s="16"/>
      <c r="N7" s="16"/>
      <c r="O7" s="16"/>
      <c r="P7" s="16"/>
      <c r="Q7" s="16"/>
      <c r="R7" s="17"/>
    </row>
    <row r="8" spans="1:18" ht="30" customHeight="1" thickBot="1" x14ac:dyDescent="0.25">
      <c r="A8" s="85" t="s">
        <v>19</v>
      </c>
      <c r="B8" s="86"/>
      <c r="C8" s="86"/>
      <c r="D8" s="86"/>
      <c r="E8" s="86"/>
      <c r="F8" s="86"/>
      <c r="G8" s="86"/>
      <c r="H8" s="87"/>
      <c r="I8" s="4"/>
      <c r="J8" s="5"/>
      <c r="K8" s="85" t="s">
        <v>19</v>
      </c>
      <c r="L8" s="86"/>
      <c r="M8" s="86"/>
      <c r="N8" s="86"/>
      <c r="O8" s="86"/>
      <c r="P8" s="86"/>
      <c r="Q8" s="86"/>
      <c r="R8" s="87"/>
    </row>
    <row r="9" spans="1:18" x14ac:dyDescent="0.2">
      <c r="A9" s="88" t="s">
        <v>0</v>
      </c>
      <c r="B9" s="59" t="s">
        <v>2</v>
      </c>
      <c r="C9" s="18">
        <v>93.308803132668416</v>
      </c>
      <c r="D9" s="16">
        <v>92.32654838421324</v>
      </c>
      <c r="E9" s="16">
        <v>90.944131581299729</v>
      </c>
      <c r="F9" s="16">
        <v>88.444112838346342</v>
      </c>
      <c r="G9" s="16">
        <v>81.14231668670719</v>
      </c>
      <c r="H9" s="17">
        <v>62.606790139476402</v>
      </c>
      <c r="I9" s="4" cm="1">
        <f t="array" ref="I9">-SUMPRODUCT((D1:H1-C1:G1)*(C9:G9+D9:H9)/2)</f>
        <v>79.718855194825792</v>
      </c>
      <c r="J9" s="5" t="str">
        <f t="shared" ref="J9:J12" si="1">"    "&amp;_xlfn.TEXTJOIN(", ",TRUE,C9:H9)&amp;","</f>
        <v xml:space="preserve">    93.3088031326684, 92.3265483842132, 90.9441315812997, 88.4441128383463, 81.1423166867072, 62.6067901394764,</v>
      </c>
      <c r="K9" s="88" t="s">
        <v>0</v>
      </c>
      <c r="L9" s="59" t="s">
        <v>2</v>
      </c>
      <c r="M9" s="18">
        <v>3.8099284628268744</v>
      </c>
      <c r="N9" s="16">
        <v>4.3923869286198984</v>
      </c>
      <c r="O9" s="16">
        <v>4.3803548174400602</v>
      </c>
      <c r="P9" s="16">
        <v>5.4605577308245961</v>
      </c>
      <c r="Q9" s="16">
        <v>8.0077218140585149</v>
      </c>
      <c r="R9" s="17">
        <v>10.235120772896638</v>
      </c>
    </row>
    <row r="10" spans="1:18" x14ac:dyDescent="0.2">
      <c r="A10" s="89"/>
      <c r="B10" s="61" t="s">
        <v>4</v>
      </c>
      <c r="C10" s="19">
        <v>93.259627390086976</v>
      </c>
      <c r="D10" s="5">
        <v>92.96466520759985</v>
      </c>
      <c r="E10" s="5">
        <v>92.449568479542776</v>
      </c>
      <c r="F10" s="5">
        <v>90.955452325135454</v>
      </c>
      <c r="G10" s="5">
        <v>84.191627955259108</v>
      </c>
      <c r="H10" s="9">
        <v>61.887989227127122</v>
      </c>
      <c r="I10" s="4" cm="1">
        <f t="array" ref="I10">-SUMPRODUCT((D1:H1-C1:G1)*(C10:G10+D10:H10)/2)</f>
        <v>80.856652739210546</v>
      </c>
      <c r="J10" s="5" t="str">
        <f t="shared" si="1"/>
        <v xml:space="preserve">    93.259627390087, 92.9646652075999, 92.4495684795428, 90.9554523251355, 84.1916279552591, 61.8879892271271,</v>
      </c>
      <c r="K10" s="89"/>
      <c r="L10" s="61" t="s">
        <v>4</v>
      </c>
      <c r="M10" s="19">
        <v>3.3697427990054161</v>
      </c>
      <c r="N10" s="5">
        <v>3.5456273836698302</v>
      </c>
      <c r="O10" s="5">
        <v>3.8389563711719141</v>
      </c>
      <c r="P10" s="5">
        <v>4.3734364854011272</v>
      </c>
      <c r="Q10" s="5">
        <v>7.1466759991199762</v>
      </c>
      <c r="R10" s="9">
        <v>10.218201810253335</v>
      </c>
    </row>
    <row r="11" spans="1:18" x14ac:dyDescent="0.2">
      <c r="A11" s="89"/>
      <c r="B11" s="61" t="s">
        <v>5</v>
      </c>
      <c r="C11" s="19">
        <v>93.593909405214006</v>
      </c>
      <c r="D11" s="5">
        <v>93.284284466128582</v>
      </c>
      <c r="E11" s="5">
        <v>92.669714559237818</v>
      </c>
      <c r="F11" s="5">
        <v>89.612317868955046</v>
      </c>
      <c r="G11" s="5">
        <v>84.325126803288398</v>
      </c>
      <c r="H11" s="9">
        <v>63.609272859915158</v>
      </c>
      <c r="I11" s="4" cm="1">
        <f t="array" ref="I11">-SUMPRODUCT((D1:H1-C1:G1)*(C11:G11+D11:H11)/2)</f>
        <v>80.925819571680265</v>
      </c>
      <c r="J11" s="5" t="str">
        <f t="shared" si="1"/>
        <v xml:space="preserve">    93.593909405214, 93.2842844661286, 92.6697145592378, 89.612317868955, 84.3251268032884, 63.6092728599152,</v>
      </c>
      <c r="K11" s="89"/>
      <c r="L11" s="61" t="s">
        <v>5</v>
      </c>
      <c r="M11" s="19">
        <v>3.5074053242674119</v>
      </c>
      <c r="N11" s="5">
        <v>3.9399538658766482</v>
      </c>
      <c r="O11" s="5">
        <v>4.159993860751583</v>
      </c>
      <c r="P11" s="5">
        <v>5.1168143294470738</v>
      </c>
      <c r="Q11" s="5">
        <v>6.5623946230239643</v>
      </c>
      <c r="R11" s="9">
        <v>11.499157764357163</v>
      </c>
    </row>
    <row r="12" spans="1:18" ht="15" thickBot="1" x14ac:dyDescent="0.25">
      <c r="A12" s="90"/>
      <c r="B12" s="63" t="s">
        <v>6</v>
      </c>
      <c r="C12" s="21">
        <v>93.271403731866201</v>
      </c>
      <c r="D12" s="22">
        <v>93.159332404836263</v>
      </c>
      <c r="E12" s="22">
        <v>92.607934901397655</v>
      </c>
      <c r="F12" s="22">
        <v>91.395767552775823</v>
      </c>
      <c r="G12" s="22">
        <v>86.100098905123176</v>
      </c>
      <c r="H12" s="23">
        <v>60.13909866579008</v>
      </c>
      <c r="I12" s="4" cm="1">
        <f t="array" ref="I12">-SUMPRODUCT((D1:H1-C1:G1)*(C12:G12+D12:H12)/2)</f>
        <v>81.111873877225008</v>
      </c>
      <c r="J12" s="5" t="str">
        <f t="shared" si="1"/>
        <v xml:space="preserve">    93.2714037318662, 93.1593324048363, 92.6079349013977, 91.3957675527758, 86.1000989051232, 60.1390986657901,</v>
      </c>
      <c r="K12" s="90"/>
      <c r="L12" s="63" t="s">
        <v>6</v>
      </c>
      <c r="M12" s="21">
        <v>3.311889145333164</v>
      </c>
      <c r="N12" s="22">
        <v>3.5622318729197451</v>
      </c>
      <c r="O12" s="22">
        <v>3.7249656002914562</v>
      </c>
      <c r="P12" s="22">
        <v>4.592478163076521</v>
      </c>
      <c r="Q12" s="22">
        <v>5.9203738735922764</v>
      </c>
      <c r="R12" s="23">
        <v>9.725428258600461</v>
      </c>
    </row>
    <row r="13" spans="1:18" ht="30" customHeight="1" thickBot="1" x14ac:dyDescent="0.25">
      <c r="A13" s="100" t="s">
        <v>18</v>
      </c>
      <c r="B13" s="101"/>
      <c r="C13" s="101"/>
      <c r="D13" s="101"/>
      <c r="E13" s="101"/>
      <c r="F13" s="101"/>
      <c r="G13" s="101"/>
      <c r="H13" s="102"/>
      <c r="I13" s="4"/>
      <c r="J13" s="5"/>
      <c r="K13" s="100" t="s">
        <v>18</v>
      </c>
      <c r="L13" s="101"/>
      <c r="M13" s="101"/>
      <c r="N13" s="101"/>
      <c r="O13" s="101"/>
      <c r="P13" s="101"/>
      <c r="Q13" s="101"/>
      <c r="R13" s="102"/>
    </row>
    <row r="14" spans="1:18" x14ac:dyDescent="0.2">
      <c r="A14" s="88" t="s">
        <v>0</v>
      </c>
      <c r="B14" s="58" t="s">
        <v>2</v>
      </c>
      <c r="C14" s="16">
        <v>92.97743636767332</v>
      </c>
      <c r="D14" s="16">
        <v>92.087691069991962</v>
      </c>
      <c r="E14" s="16">
        <v>91.488331790644082</v>
      </c>
      <c r="F14" s="16">
        <v>87.81749842126662</v>
      </c>
      <c r="G14" s="16">
        <v>80.833879762512382</v>
      </c>
      <c r="H14" s="17">
        <v>68.633586795733521</v>
      </c>
      <c r="I14" s="4" cm="1">
        <f t="array" ref="I14">-SUMPRODUCT((D1:H1-C1:G1)*(C14:G14+D14:H14)/2)</f>
        <v>79.91666904557998</v>
      </c>
      <c r="J14" s="5" t="str">
        <f t="shared" ref="J14:J17" si="2">"    "&amp;_xlfn.TEXTJOIN(", ",TRUE,C14:H14)&amp;","</f>
        <v xml:space="preserve">    92.9774363676733, 92.087691069992, 91.4883317906441, 87.8174984212666, 80.8338797625124, 68.6335867957335,</v>
      </c>
      <c r="K14" s="88" t="s">
        <v>0</v>
      </c>
      <c r="L14" s="58" t="s">
        <v>2</v>
      </c>
      <c r="M14" s="16">
        <v>3.7639591510057691</v>
      </c>
      <c r="N14" s="16">
        <v>4.104491980795232</v>
      </c>
      <c r="O14" s="16">
        <v>3.870871676227456</v>
      </c>
      <c r="P14" s="16">
        <v>4.5942331539360346</v>
      </c>
      <c r="Q14" s="16">
        <v>6.091605017041668</v>
      </c>
      <c r="R14" s="17">
        <v>7.8884246682162882</v>
      </c>
    </row>
    <row r="15" spans="1:18" x14ac:dyDescent="0.2">
      <c r="A15" s="89"/>
      <c r="B15" s="60" t="s">
        <v>4</v>
      </c>
      <c r="C15" s="5">
        <v>91.673641928851779</v>
      </c>
      <c r="D15" s="5">
        <v>91.867395046669955</v>
      </c>
      <c r="E15" s="5">
        <v>91.50381635365936</v>
      </c>
      <c r="F15" s="5">
        <v>91.379175713746079</v>
      </c>
      <c r="G15" s="5">
        <v>88.831829571766775</v>
      </c>
      <c r="H15" s="9">
        <v>70.023970795595105</v>
      </c>
      <c r="I15" s="4" cm="1">
        <f t="array" ref="I15">-SUMPRODUCT((D1:H1-C1:G1)*(C15:G15+D15:H15)/2)</f>
        <v>81.105670536365665</v>
      </c>
      <c r="J15" s="5" t="str">
        <f t="shared" si="2"/>
        <v xml:space="preserve">    91.6736419288518, 91.86739504667, 91.5038163536594, 91.3791757137461, 88.8318295717668, 70.0239707955951,</v>
      </c>
      <c r="K15" s="89"/>
      <c r="L15" s="60" t="s">
        <v>4</v>
      </c>
      <c r="M15" s="5">
        <v>4.0996055394193416</v>
      </c>
      <c r="N15" s="5">
        <v>3.9363678196477259</v>
      </c>
      <c r="O15" s="5">
        <v>4.4775085930829679</v>
      </c>
      <c r="P15" s="5">
        <v>4.3467311762055054</v>
      </c>
      <c r="Q15" s="5">
        <v>5.4186476543956417</v>
      </c>
      <c r="R15" s="9">
        <v>8.3279626177723625</v>
      </c>
    </row>
    <row r="16" spans="1:18" x14ac:dyDescent="0.2">
      <c r="A16" s="89"/>
      <c r="B16" s="60" t="s">
        <v>5</v>
      </c>
      <c r="C16" s="5">
        <v>92.522198865618762</v>
      </c>
      <c r="D16" s="5">
        <v>92.258701776543617</v>
      </c>
      <c r="E16" s="5">
        <v>91.286063604933133</v>
      </c>
      <c r="F16" s="5">
        <v>87.347272323578352</v>
      </c>
      <c r="G16" s="5">
        <v>80.924079504724673</v>
      </c>
      <c r="H16" s="9">
        <v>68.770987061595122</v>
      </c>
      <c r="I16" s="4" cm="1">
        <f t="array" ref="I16">-SUMPRODUCT((D1:H1-C1:G1)*(C16:G16+D16:H16)/2)</f>
        <v>79.802362765537168</v>
      </c>
      <c r="J16" s="5" t="str">
        <f t="shared" si="2"/>
        <v xml:space="preserve">    92.5221988656188, 92.2587017765436, 91.2860636049331, 87.3472723235784, 80.9240795047247, 68.7709870615951,</v>
      </c>
      <c r="K16" s="89"/>
      <c r="L16" s="60" t="s">
        <v>5</v>
      </c>
      <c r="M16" s="5">
        <v>4.1122508316799324</v>
      </c>
      <c r="N16" s="5">
        <v>3.9130111858628869</v>
      </c>
      <c r="O16" s="5">
        <v>4.1402320670424677</v>
      </c>
      <c r="P16" s="5">
        <v>4.9319868448576356</v>
      </c>
      <c r="Q16" s="5">
        <v>5.4027181636296984</v>
      </c>
      <c r="R16" s="9">
        <v>7.5963973372628857</v>
      </c>
    </row>
    <row r="17" spans="1:18" ht="15" thickBot="1" x14ac:dyDescent="0.25">
      <c r="A17" s="90"/>
      <c r="B17" s="62" t="s">
        <v>6</v>
      </c>
      <c r="C17" s="22">
        <v>92.90466180503293</v>
      </c>
      <c r="D17" s="22">
        <v>92.576285261983244</v>
      </c>
      <c r="E17" s="22">
        <v>92.469101520486021</v>
      </c>
      <c r="F17" s="22">
        <v>90.667136682266573</v>
      </c>
      <c r="G17" s="22">
        <v>86.385868389864967</v>
      </c>
      <c r="H17" s="23">
        <v>70.341681156411397</v>
      </c>
      <c r="I17" s="4" cm="1">
        <f t="array" ref="I17">-SUMPRODUCT((D1:H1-C1:G1)*(C17:G17+D17:H17)/2)</f>
        <v>81.318443282381338</v>
      </c>
      <c r="J17" s="5" t="str">
        <f t="shared" si="2"/>
        <v xml:space="preserve">    92.9046618050329, 92.5762852619832, 92.469101520486, 90.6671366822666, 86.385868389865, 70.3416811564114,</v>
      </c>
      <c r="K17" s="90"/>
      <c r="L17" s="62" t="s">
        <v>6</v>
      </c>
      <c r="M17" s="22">
        <v>3.576588513898638</v>
      </c>
      <c r="N17" s="22">
        <v>3.6384489067435961</v>
      </c>
      <c r="O17" s="22">
        <v>3.4880286605455821</v>
      </c>
      <c r="P17" s="22">
        <v>3.9701665356541431</v>
      </c>
      <c r="Q17" s="22">
        <v>5.5319131411834084</v>
      </c>
      <c r="R17" s="23">
        <v>7.9689437293106389</v>
      </c>
    </row>
    <row r="18" spans="1:18" ht="15" thickBot="1" x14ac:dyDescent="0.25"/>
    <row r="19" spans="1:18" ht="15" thickBot="1" x14ac:dyDescent="0.25">
      <c r="A19" s="69" t="s">
        <v>26</v>
      </c>
      <c r="B19" s="65" t="s">
        <v>27</v>
      </c>
      <c r="C19" s="67">
        <v>1</v>
      </c>
      <c r="D19" s="67">
        <v>0.75</v>
      </c>
      <c r="E19" s="67">
        <v>0.5</v>
      </c>
      <c r="F19" s="67">
        <v>0.3</v>
      </c>
      <c r="G19" s="67">
        <v>0.2</v>
      </c>
      <c r="H19" s="65">
        <v>0.1</v>
      </c>
      <c r="I19" s="24"/>
      <c r="J19" s="25"/>
      <c r="K19" s="69" t="s">
        <v>28</v>
      </c>
      <c r="L19" s="65" t="s">
        <v>27</v>
      </c>
      <c r="M19" s="67">
        <v>1</v>
      </c>
      <c r="N19" s="67">
        <v>0.75</v>
      </c>
      <c r="O19" s="67">
        <v>0.5</v>
      </c>
      <c r="P19" s="67">
        <v>0.3</v>
      </c>
      <c r="Q19" s="67">
        <v>0.2</v>
      </c>
      <c r="R19" s="65">
        <v>0.1</v>
      </c>
    </row>
    <row r="20" spans="1:18" ht="15" thickBot="1" x14ac:dyDescent="0.25">
      <c r="A20" s="81" t="s">
        <v>22</v>
      </c>
      <c r="B20" s="82"/>
      <c r="C20" s="26">
        <v>92.567111769713335</v>
      </c>
      <c r="D20" s="26">
        <v>90.835858608343599</v>
      </c>
      <c r="E20" s="26">
        <v>89.217505339533233</v>
      </c>
      <c r="F20" s="26">
        <v>83.237245964288078</v>
      </c>
      <c r="G20" s="26">
        <v>75.380430844191011</v>
      </c>
      <c r="H20" s="27">
        <v>58.994367187597383</v>
      </c>
      <c r="I20" s="25"/>
      <c r="J20" s="25"/>
      <c r="K20" s="81" t="s">
        <v>22</v>
      </c>
      <c r="L20" s="82"/>
      <c r="M20" s="25">
        <v>3.88093621561358</v>
      </c>
      <c r="N20" s="25">
        <v>4.8164746829677396</v>
      </c>
      <c r="O20" s="25">
        <v>5.2250608386616522</v>
      </c>
      <c r="P20" s="25">
        <v>5.6675721086724113</v>
      </c>
      <c r="Q20" s="25">
        <v>8.3263283482936075</v>
      </c>
      <c r="R20" s="28">
        <v>10.49020927094638</v>
      </c>
    </row>
    <row r="21" spans="1:18" ht="15" thickBot="1" x14ac:dyDescent="0.25">
      <c r="A21" s="83" t="s">
        <v>16</v>
      </c>
      <c r="B21" s="84"/>
      <c r="C21" s="29">
        <v>89.091144513484792</v>
      </c>
      <c r="D21" s="30">
        <v>88.532444541621487</v>
      </c>
      <c r="E21" s="30">
        <v>87.091035968025309</v>
      </c>
      <c r="F21" s="30">
        <v>82.49212678195542</v>
      </c>
      <c r="G21" s="30">
        <v>78.404864197394232</v>
      </c>
      <c r="H21" s="31">
        <v>65.108004769341349</v>
      </c>
      <c r="I21" s="32"/>
      <c r="J21" s="25"/>
      <c r="K21" s="83" t="s">
        <v>16</v>
      </c>
      <c r="L21" s="84"/>
      <c r="M21" s="29">
        <v>5.8923539039658843</v>
      </c>
      <c r="N21" s="30">
        <v>6.3714672776132906</v>
      </c>
      <c r="O21" s="30">
        <v>7.2348097245896552</v>
      </c>
      <c r="P21" s="30">
        <v>10.84553275656566</v>
      </c>
      <c r="Q21" s="30">
        <v>12.817535883021769</v>
      </c>
      <c r="R21" s="31">
        <v>12.24400547643862</v>
      </c>
    </row>
    <row r="22" spans="1:18" ht="15" thickBot="1" x14ac:dyDescent="0.25">
      <c r="A22" s="83" t="s">
        <v>17</v>
      </c>
      <c r="B22" s="84"/>
      <c r="C22" s="29">
        <v>85.741374083226546</v>
      </c>
      <c r="D22" s="30">
        <v>85.804305125363982</v>
      </c>
      <c r="E22" s="30">
        <v>86.080704122689539</v>
      </c>
      <c r="F22" s="30">
        <v>85.543210676138614</v>
      </c>
      <c r="G22" s="30">
        <v>83.015709459310699</v>
      </c>
      <c r="H22" s="31">
        <v>72.552621372052599</v>
      </c>
      <c r="I22" s="32"/>
      <c r="J22" s="25"/>
      <c r="K22" s="83" t="s">
        <v>17</v>
      </c>
      <c r="L22" s="84"/>
      <c r="M22" s="29">
        <v>5.5691696587585708</v>
      </c>
      <c r="N22" s="30">
        <v>5.94594753688102</v>
      </c>
      <c r="O22" s="30">
        <v>6.1418944454331781</v>
      </c>
      <c r="P22" s="30">
        <v>7.2724316109064144</v>
      </c>
      <c r="Q22" s="30">
        <v>8.0003529649381697</v>
      </c>
      <c r="R22" s="31">
        <v>8.555663894113005</v>
      </c>
    </row>
    <row r="23" spans="1:18" ht="15" thickBot="1" x14ac:dyDescent="0.25">
      <c r="A23" s="68" t="s">
        <v>23</v>
      </c>
      <c r="B23" s="64" t="s">
        <v>14</v>
      </c>
      <c r="C23" s="36">
        <v>91.150185018145393</v>
      </c>
      <c r="D23" s="26">
        <v>90.66344543037772</v>
      </c>
      <c r="E23" s="26">
        <v>91.214547832455892</v>
      </c>
      <c r="F23" s="26">
        <v>89.231571189412421</v>
      </c>
      <c r="G23" s="26">
        <v>84.980466719185245</v>
      </c>
      <c r="H23" s="27">
        <v>67.96520669264342</v>
      </c>
      <c r="I23" s="25"/>
      <c r="J23" s="25"/>
      <c r="K23" s="68" t="s">
        <v>23</v>
      </c>
      <c r="L23" s="64" t="s">
        <v>14</v>
      </c>
      <c r="M23" s="36">
        <v>4.1975941752007664</v>
      </c>
      <c r="N23" s="26">
        <v>4.8503486283255048</v>
      </c>
      <c r="O23" s="26">
        <v>4.5194818596784581</v>
      </c>
      <c r="P23" s="26">
        <v>5.4908089139402074</v>
      </c>
      <c r="Q23" s="26">
        <v>5.7189247443035436</v>
      </c>
      <c r="R23" s="27">
        <v>9.7048299468359911</v>
      </c>
    </row>
    <row r="24" spans="1:18" ht="15" thickBot="1" x14ac:dyDescent="0.25">
      <c r="A24" s="68" t="s">
        <v>24</v>
      </c>
      <c r="B24" s="69" t="s">
        <v>14</v>
      </c>
      <c r="C24" s="36">
        <v>92.578767643112272</v>
      </c>
      <c r="D24" s="26">
        <v>90.805682970500385</v>
      </c>
      <c r="E24" s="26">
        <v>89.579653001499864</v>
      </c>
      <c r="F24" s="26">
        <v>87.339441882301443</v>
      </c>
      <c r="G24" s="26">
        <v>83.066901517151223</v>
      </c>
      <c r="H24" s="27">
        <v>71.204247790888218</v>
      </c>
      <c r="I24" s="25"/>
      <c r="J24" s="25"/>
      <c r="K24" s="68" t="s">
        <v>24</v>
      </c>
      <c r="L24" s="69" t="s">
        <v>14</v>
      </c>
      <c r="M24" s="36">
        <v>3.7226719428771933</v>
      </c>
      <c r="N24" s="26">
        <v>4.4500612276713989</v>
      </c>
      <c r="O24" s="26">
        <v>5.1740468516560956</v>
      </c>
      <c r="P24" s="26">
        <v>5.4342914409914789</v>
      </c>
      <c r="Q24" s="26">
        <v>6.609985573128915</v>
      </c>
      <c r="R24" s="27">
        <v>7.9502861347038616</v>
      </c>
    </row>
    <row r="25" spans="1:18" ht="15" thickBot="1" x14ac:dyDescent="0.25">
      <c r="A25" s="37"/>
      <c r="B25" s="38"/>
      <c r="C25" s="49"/>
      <c r="D25" s="49"/>
      <c r="E25" s="49"/>
      <c r="F25" s="49"/>
      <c r="G25" s="49"/>
      <c r="H25" s="50"/>
      <c r="I25" s="40"/>
      <c r="J25" s="25"/>
      <c r="K25" s="37"/>
      <c r="L25" s="38"/>
      <c r="M25" s="49"/>
      <c r="N25" s="49"/>
      <c r="O25" s="49"/>
      <c r="P25" s="49"/>
      <c r="Q25" s="49"/>
      <c r="R25" s="50"/>
    </row>
    <row r="26" spans="1:18" ht="15" thickBot="1" x14ac:dyDescent="0.25">
      <c r="A26" s="91" t="s">
        <v>19</v>
      </c>
      <c r="B26" s="92"/>
      <c r="C26" s="92"/>
      <c r="D26" s="92"/>
      <c r="E26" s="92"/>
      <c r="F26" s="92"/>
      <c r="G26" s="92"/>
      <c r="H26" s="93"/>
      <c r="I26" s="24"/>
      <c r="J26" s="25"/>
      <c r="K26" s="91" t="s">
        <v>19</v>
      </c>
      <c r="L26" s="92"/>
      <c r="M26" s="92"/>
      <c r="N26" s="92"/>
      <c r="O26" s="92"/>
      <c r="P26" s="92"/>
      <c r="Q26" s="92"/>
      <c r="R26" s="93"/>
    </row>
    <row r="27" spans="1:18" x14ac:dyDescent="0.2">
      <c r="A27" s="94" t="s">
        <v>0</v>
      </c>
      <c r="B27" s="70" t="s">
        <v>2</v>
      </c>
      <c r="C27" s="33">
        <v>92.843284190023084</v>
      </c>
      <c r="D27" s="34">
        <v>91.856981164968985</v>
      </c>
      <c r="E27" s="34">
        <v>90.615255157299202</v>
      </c>
      <c r="F27" s="34">
        <v>87.929534075502005</v>
      </c>
      <c r="G27" s="34">
        <v>80.29266389685057</v>
      </c>
      <c r="H27" s="35">
        <v>61.564100332848938</v>
      </c>
      <c r="I27" s="25"/>
      <c r="J27" s="25"/>
      <c r="K27" s="94" t="s">
        <v>0</v>
      </c>
      <c r="L27" s="70" t="s">
        <v>2</v>
      </c>
      <c r="M27" s="33">
        <v>4.2026089477592938</v>
      </c>
      <c r="N27" s="34">
        <v>4.7417739073745873</v>
      </c>
      <c r="O27" s="34">
        <v>4.6885884019912742</v>
      </c>
      <c r="P27" s="34">
        <v>5.8474095435593307</v>
      </c>
      <c r="Q27" s="34">
        <v>8.5718488634529457</v>
      </c>
      <c r="R27" s="35">
        <v>10.618665895845737</v>
      </c>
    </row>
    <row r="28" spans="1:18" x14ac:dyDescent="0.2">
      <c r="A28" s="95"/>
      <c r="B28" s="71" t="s">
        <v>4</v>
      </c>
      <c r="C28" s="41">
        <v>92.843190256650004</v>
      </c>
      <c r="D28" s="25">
        <v>92.587016305792119</v>
      </c>
      <c r="E28" s="25">
        <v>92.099608766333958</v>
      </c>
      <c r="F28" s="25">
        <v>90.524299230603347</v>
      </c>
      <c r="G28" s="25">
        <v>83.646426779948698</v>
      </c>
      <c r="H28" s="28">
        <v>60.416105838288168</v>
      </c>
      <c r="I28" s="25"/>
      <c r="J28" s="25"/>
      <c r="K28" s="95"/>
      <c r="L28" s="71" t="s">
        <v>4</v>
      </c>
      <c r="M28" s="41">
        <v>3.6611286672079411</v>
      </c>
      <c r="N28" s="25">
        <v>3.8332247685167258</v>
      </c>
      <c r="O28" s="25">
        <v>4.0987820655435705</v>
      </c>
      <c r="P28" s="25">
        <v>4.7008877850217017</v>
      </c>
      <c r="Q28" s="25">
        <v>7.5205052811091608</v>
      </c>
      <c r="R28" s="28">
        <v>10.841519627091911</v>
      </c>
    </row>
    <row r="29" spans="1:18" x14ac:dyDescent="0.2">
      <c r="A29" s="95"/>
      <c r="B29" s="71" t="s">
        <v>5</v>
      </c>
      <c r="C29" s="41">
        <v>93.155419737732046</v>
      </c>
      <c r="D29" s="25">
        <v>92.891252101569421</v>
      </c>
      <c r="E29" s="25">
        <v>92.354820431535103</v>
      </c>
      <c r="F29" s="25">
        <v>89.262237664911709</v>
      </c>
      <c r="G29" s="25">
        <v>83.817415142302622</v>
      </c>
      <c r="H29" s="28">
        <v>62.583030132951436</v>
      </c>
      <c r="I29" s="25"/>
      <c r="J29" s="25"/>
      <c r="K29" s="95"/>
      <c r="L29" s="71" t="s">
        <v>5</v>
      </c>
      <c r="M29" s="41">
        <v>3.8707101747526216</v>
      </c>
      <c r="N29" s="25">
        <v>4.3079284051136435</v>
      </c>
      <c r="O29" s="25">
        <v>4.4205356766114763</v>
      </c>
      <c r="P29" s="25">
        <v>5.3097950223237715</v>
      </c>
      <c r="Q29" s="25">
        <v>6.7759657284130972</v>
      </c>
      <c r="R29" s="28">
        <v>11.798403704025185</v>
      </c>
    </row>
    <row r="30" spans="1:18" ht="15" thickBot="1" x14ac:dyDescent="0.25">
      <c r="A30" s="96"/>
      <c r="B30" s="66" t="s">
        <v>6</v>
      </c>
      <c r="C30" s="42">
        <v>92.821279056315362</v>
      </c>
      <c r="D30" s="43">
        <v>92.733480621303571</v>
      </c>
      <c r="E30" s="43">
        <v>92.203500219400965</v>
      </c>
      <c r="F30" s="43">
        <v>91.071302925601856</v>
      </c>
      <c r="G30" s="43">
        <v>85.612815475594061</v>
      </c>
      <c r="H30" s="44">
        <v>58.992680230672832</v>
      </c>
      <c r="I30" s="25"/>
      <c r="J30" s="25"/>
      <c r="K30" s="96"/>
      <c r="L30" s="66" t="s">
        <v>6</v>
      </c>
      <c r="M30" s="42">
        <v>3.654167143417371</v>
      </c>
      <c r="N30" s="43">
        <v>3.872585567952481</v>
      </c>
      <c r="O30" s="43">
        <v>4.0466276106990549</v>
      </c>
      <c r="P30" s="43">
        <v>4.8526676778723434</v>
      </c>
      <c r="Q30" s="43">
        <v>6.1913517121362496</v>
      </c>
      <c r="R30" s="44">
        <v>10.091912686159521</v>
      </c>
    </row>
    <row r="31" spans="1:18" ht="14.25" customHeight="1" thickBot="1" x14ac:dyDescent="0.25">
      <c r="A31" s="97" t="s">
        <v>18</v>
      </c>
      <c r="B31" s="98"/>
      <c r="C31" s="98"/>
      <c r="D31" s="98"/>
      <c r="E31" s="98"/>
      <c r="F31" s="98"/>
      <c r="G31" s="98"/>
      <c r="H31" s="99"/>
      <c r="I31" s="24"/>
      <c r="J31" s="25"/>
      <c r="K31" s="97" t="s">
        <v>18</v>
      </c>
      <c r="L31" s="98"/>
      <c r="M31" s="98"/>
      <c r="N31" s="98"/>
      <c r="O31" s="98"/>
      <c r="P31" s="98"/>
      <c r="Q31" s="98"/>
      <c r="R31" s="99"/>
    </row>
    <row r="32" spans="1:18" ht="14.25" customHeight="1" x14ac:dyDescent="0.2">
      <c r="A32" s="94" t="s">
        <v>0</v>
      </c>
      <c r="B32" s="70" t="s">
        <v>2</v>
      </c>
      <c r="C32" s="33">
        <v>92.563160936089858</v>
      </c>
      <c r="D32" s="34">
        <v>91.671343853121428</v>
      </c>
      <c r="E32" s="34">
        <v>90.948470471508386</v>
      </c>
      <c r="F32" s="34">
        <v>87.250446788778675</v>
      </c>
      <c r="G32" s="34">
        <v>80.245135880766256</v>
      </c>
      <c r="H32" s="35">
        <v>67.618957114876295</v>
      </c>
      <c r="I32" s="25"/>
      <c r="J32" s="25"/>
      <c r="K32" s="94" t="s">
        <v>0</v>
      </c>
      <c r="L32" s="70" t="s">
        <v>2</v>
      </c>
      <c r="M32" s="33">
        <v>4.1570380941436529</v>
      </c>
      <c r="N32" s="34">
        <v>4.4322456207651824</v>
      </c>
      <c r="O32" s="34">
        <v>4.2573142592404345</v>
      </c>
      <c r="P32" s="34">
        <v>4.9623460503589669</v>
      </c>
      <c r="Q32" s="34">
        <v>6.4761990460733738</v>
      </c>
      <c r="R32" s="35">
        <v>8.2894024682649388</v>
      </c>
    </row>
    <row r="33" spans="1:18" ht="14.25" customHeight="1" x14ac:dyDescent="0.2">
      <c r="A33" s="95"/>
      <c r="B33" s="71" t="s">
        <v>4</v>
      </c>
      <c r="C33" s="41">
        <v>91.108963215218992</v>
      </c>
      <c r="D33" s="25">
        <v>91.422451190382446</v>
      </c>
      <c r="E33" s="25">
        <v>91.028164807377692</v>
      </c>
      <c r="F33" s="25">
        <v>90.92155498404928</v>
      </c>
      <c r="G33" s="25">
        <v>88.366911725212944</v>
      </c>
      <c r="H33" s="28">
        <v>69.467496738004868</v>
      </c>
      <c r="I33" s="25"/>
      <c r="J33" s="25"/>
      <c r="K33" s="95"/>
      <c r="L33" s="71" t="s">
        <v>4</v>
      </c>
      <c r="M33" s="41">
        <v>4.5721711205283091</v>
      </c>
      <c r="N33" s="25">
        <v>4.2450282469621561</v>
      </c>
      <c r="O33" s="25">
        <v>4.9010444377823665</v>
      </c>
      <c r="P33" s="25">
        <v>4.7536885250114933</v>
      </c>
      <c r="Q33" s="25">
        <v>5.7319162671252464</v>
      </c>
      <c r="R33" s="28">
        <v>8.5643761177203679</v>
      </c>
    </row>
    <row r="34" spans="1:18" ht="14.25" customHeight="1" x14ac:dyDescent="0.2">
      <c r="A34" s="95"/>
      <c r="B34" s="71" t="s">
        <v>5</v>
      </c>
      <c r="C34" s="41">
        <v>91.985002113747967</v>
      </c>
      <c r="D34" s="25">
        <v>91.844115733099713</v>
      </c>
      <c r="E34" s="25">
        <v>90.74276089064449</v>
      </c>
      <c r="F34" s="25">
        <v>86.637468540622294</v>
      </c>
      <c r="G34" s="25">
        <v>80.087169822335198</v>
      </c>
      <c r="H34" s="28">
        <v>67.923665484357144</v>
      </c>
      <c r="I34" s="25"/>
      <c r="J34" s="25"/>
      <c r="K34" s="95"/>
      <c r="L34" s="71" t="s">
        <v>5</v>
      </c>
      <c r="M34" s="41">
        <v>4.584242690959452</v>
      </c>
      <c r="N34" s="25">
        <v>4.2746031503783293</v>
      </c>
      <c r="O34" s="25">
        <v>4.5095381636640219</v>
      </c>
      <c r="P34" s="25">
        <v>5.3683537882268819</v>
      </c>
      <c r="Q34" s="25">
        <v>5.8185190400296554</v>
      </c>
      <c r="R34" s="28">
        <v>8.023787622820107</v>
      </c>
    </row>
    <row r="35" spans="1:18" ht="14.25" customHeight="1" thickBot="1" x14ac:dyDescent="0.25">
      <c r="A35" s="96"/>
      <c r="B35" s="66" t="s">
        <v>6</v>
      </c>
      <c r="C35" s="42">
        <v>92.468180366104363</v>
      </c>
      <c r="D35" s="43">
        <v>92.104677053061693</v>
      </c>
      <c r="E35" s="43">
        <v>91.973737069414582</v>
      </c>
      <c r="F35" s="43">
        <v>90.231180372644104</v>
      </c>
      <c r="G35" s="43">
        <v>85.680389069387402</v>
      </c>
      <c r="H35" s="44">
        <v>69.611797784660126</v>
      </c>
      <c r="I35" s="25"/>
      <c r="J35" s="25"/>
      <c r="K35" s="96"/>
      <c r="L35" s="66" t="s">
        <v>6</v>
      </c>
      <c r="M35" s="42">
        <v>3.9609796946315146</v>
      </c>
      <c r="N35" s="43">
        <v>4.0190161872002168</v>
      </c>
      <c r="O35" s="43">
        <v>3.83425635153686</v>
      </c>
      <c r="P35" s="43">
        <v>4.2952439764306201</v>
      </c>
      <c r="Q35" s="43">
        <v>6.136495380553578</v>
      </c>
      <c r="R35" s="44">
        <v>8.317066252642471</v>
      </c>
    </row>
    <row r="38" spans="1:18" x14ac:dyDescent="0.2">
      <c r="D38"/>
      <c r="E38"/>
      <c r="F38"/>
      <c r="G38"/>
      <c r="H38"/>
      <c r="I38"/>
    </row>
    <row r="42" spans="1:18" x14ac:dyDescent="0.2">
      <c r="D42"/>
      <c r="E42"/>
      <c r="F42"/>
      <c r="G42"/>
      <c r="H42"/>
      <c r="I42"/>
    </row>
  </sheetData>
  <mergeCells count="28">
    <mergeCell ref="A2:B2"/>
    <mergeCell ref="K2:L2"/>
    <mergeCell ref="A3:B3"/>
    <mergeCell ref="K3:L3"/>
    <mergeCell ref="A4:B4"/>
    <mergeCell ref="K4:L4"/>
    <mergeCell ref="A8:H8"/>
    <mergeCell ref="K8:R8"/>
    <mergeCell ref="A9:A12"/>
    <mergeCell ref="K9:K12"/>
    <mergeCell ref="A13:H13"/>
    <mergeCell ref="K13:R13"/>
    <mergeCell ref="A14:A17"/>
    <mergeCell ref="K14:K17"/>
    <mergeCell ref="A20:B20"/>
    <mergeCell ref="K20:L20"/>
    <mergeCell ref="A21:B21"/>
    <mergeCell ref="K21:L21"/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</mergeCells>
  <phoneticPr fontId="1" type="noConversion"/>
  <conditionalFormatting sqref="A3:A4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H11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H1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0 C5:H6 A12:H15 A17:H17">
    <cfRule type="colorScale" priority="9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 C14:H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0 C12:H12">
    <cfRule type="colorScale" priority="9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H1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2:H6 C9:H10 C12:H12 C17:H17">
    <cfRule type="colorScale" priority="8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9:H10 C2:H6 C12:H12 C17:H17">
    <cfRule type="colorScale" priority="8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17:H17">
    <cfRule type="colorScale" priority="8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I2:I10 C2:H3 C5:H7 I12:I15 C17:I17">
    <cfRule type="colorScale" priority="8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H1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0 I12:I15 I17">
    <cfRule type="colorScale" priority="96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5 C9:I10 C2:I6 C12:I12 C17:I17">
    <cfRule type="colorScale" priority="9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C2:H3 C5:H7 I12:I15 I17">
    <cfRule type="colorScale" priority="9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">
    <cfRule type="colorScale" priority="8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:I15 I17">
    <cfRule type="colorScale" priority="9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6 I17 C5:H7 I8:I10 I12:I14">
    <cfRule type="colorScale" priority="8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0 I14:I15 I2:I6 I12 I17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2:I6 I9:I10 I12 I17">
    <cfRule type="colorScale" priority="9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9:I10 I2:I6 I12 I17">
    <cfRule type="colorScale" priority="9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8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V57"/>
  <sheetViews>
    <sheetView zoomScaleNormal="100" workbookViewId="0">
      <selection activeCell="O36" sqref="O36:T36"/>
    </sheetView>
  </sheetViews>
  <sheetFormatPr defaultRowHeight="14.25" x14ac:dyDescent="0.2"/>
  <cols>
    <col min="1" max="1" width="18.75" style="2" customWidth="1"/>
    <col min="2" max="2" width="15" style="2" customWidth="1"/>
    <col min="3" max="12" width="9" style="2"/>
    <col min="13" max="13" width="18.75" style="2" customWidth="1"/>
    <col min="14" max="14" width="15" style="2" customWidth="1"/>
    <col min="15" max="16384" width="9" style="2"/>
  </cols>
  <sheetData>
    <row r="1" spans="1:22" ht="15" thickBot="1" x14ac:dyDescent="0.25">
      <c r="A1" s="55" t="s">
        <v>20</v>
      </c>
      <c r="B1" s="52" t="s">
        <v>21</v>
      </c>
      <c r="C1" s="53">
        <v>1</v>
      </c>
      <c r="D1" s="53">
        <v>0.75</v>
      </c>
      <c r="E1" s="53">
        <v>0.5</v>
      </c>
      <c r="F1" s="53">
        <v>0.3</v>
      </c>
      <c r="G1" s="53">
        <v>0.2</v>
      </c>
      <c r="H1" s="53">
        <v>0.1</v>
      </c>
      <c r="I1" s="52">
        <v>0.05</v>
      </c>
      <c r="J1" s="56" t="s">
        <v>15</v>
      </c>
      <c r="K1" s="56" t="s">
        <v>12</v>
      </c>
      <c r="L1" s="57"/>
      <c r="M1" s="55" t="s">
        <v>25</v>
      </c>
      <c r="N1" s="52" t="s">
        <v>27</v>
      </c>
      <c r="O1" s="51">
        <v>1</v>
      </c>
      <c r="P1" s="53">
        <v>0.75</v>
      </c>
      <c r="Q1" s="53">
        <v>0.5</v>
      </c>
      <c r="R1" s="53">
        <v>0.3</v>
      </c>
      <c r="S1" s="53">
        <v>0.2</v>
      </c>
      <c r="T1" s="53">
        <v>0.1</v>
      </c>
      <c r="U1" s="52">
        <v>0.05</v>
      </c>
    </row>
    <row r="2" spans="1:22" ht="15" thickBot="1" x14ac:dyDescent="0.25">
      <c r="A2" s="78" t="s">
        <v>22</v>
      </c>
      <c r="B2" s="79"/>
      <c r="C2" s="6">
        <v>93.101364775358491</v>
      </c>
      <c r="D2" s="7">
        <v>91.326663725464783</v>
      </c>
      <c r="E2" s="7">
        <v>89.722561037148537</v>
      </c>
      <c r="F2" s="7">
        <v>83.857204647099024</v>
      </c>
      <c r="G2" s="7">
        <v>76.242949045118635</v>
      </c>
      <c r="H2" s="7">
        <v>60.40277741733636</v>
      </c>
      <c r="I2" s="8">
        <v>47.740900296138662</v>
      </c>
      <c r="J2" s="4" cm="1">
        <f t="array" ref="J2">-SUMPRODUCT((D1:I1-C1:H1)*(C2:H2+D2:I2)/2)</f>
        <v>80.583519176924838</v>
      </c>
      <c r="K2" s="4">
        <f>C2*(1-1)^2+D2*(1-0.75)^2+E2*(1-0.5)^2+F2*(1-0.3)^2+G2*(1-0.2)^2+H2*(1-0.1)^2+I2*(1-0.05)^2</f>
        <v>210.03648663339072</v>
      </c>
      <c r="L2" s="5" t="str">
        <f>"    "&amp;_xlfn.TEXTJOIN(", ",TRUE,C2:I2)&amp;","</f>
        <v xml:space="preserve">    93.1013647753585, 91.3266637254648, 89.7225610371485, 83.857204647099, 76.2429490451186, 60.4027774173364, 47.7409002961387,</v>
      </c>
      <c r="M2" s="78" t="s">
        <v>22</v>
      </c>
      <c r="N2" s="79"/>
      <c r="O2" s="5">
        <v>3.4649270444699574</v>
      </c>
      <c r="P2" s="5">
        <v>4.4611797621615326</v>
      </c>
      <c r="Q2" s="5">
        <v>4.7712065248821434</v>
      </c>
      <c r="R2" s="5">
        <v>5.3965689103010375</v>
      </c>
      <c r="S2" s="5">
        <v>7.9323757260741923</v>
      </c>
      <c r="T2" s="5">
        <v>9.9900413492801565</v>
      </c>
      <c r="U2" s="9">
        <v>9.7565309936118432</v>
      </c>
      <c r="V2" s="1"/>
    </row>
    <row r="3" spans="1:22" ht="15" thickBot="1" x14ac:dyDescent="0.25">
      <c r="A3" s="78" t="s">
        <v>16</v>
      </c>
      <c r="B3" s="80"/>
      <c r="C3" s="13">
        <v>89.854101967433408</v>
      </c>
      <c r="D3" s="14">
        <v>89.356326611821913</v>
      </c>
      <c r="E3" s="14">
        <v>87.92290014042797</v>
      </c>
      <c r="F3" s="14">
        <v>83.725360946028957</v>
      </c>
      <c r="G3" s="14">
        <v>79.969792126229478</v>
      </c>
      <c r="H3" s="14">
        <v>67.089104000322948</v>
      </c>
      <c r="I3" s="15">
        <v>49.837195823493268</v>
      </c>
      <c r="J3" s="4" cm="1">
        <f t="array" ref="J3">-SUMPRODUCT((D1:I1-C1:H1)*(C3:H3+D3:I3)/2)</f>
        <v>80.186892980619803</v>
      </c>
      <c r="K3" s="4"/>
      <c r="L3" s="5"/>
      <c r="M3" s="78" t="s">
        <v>16</v>
      </c>
      <c r="N3" s="80"/>
      <c r="O3" s="13">
        <v>5.3152084941070079</v>
      </c>
      <c r="P3" s="14">
        <v>5.7476603443567322</v>
      </c>
      <c r="Q3" s="14">
        <v>6.7535501382517431</v>
      </c>
      <c r="R3" s="14">
        <v>9.8505185803140893</v>
      </c>
      <c r="S3" s="14">
        <v>11.55110233674659</v>
      </c>
      <c r="T3" s="14">
        <v>10.958041076048451</v>
      </c>
      <c r="U3" s="15">
        <v>7.8863119101722532</v>
      </c>
      <c r="V3" s="1"/>
    </row>
    <row r="4" spans="1:22" ht="15" thickBot="1" x14ac:dyDescent="0.25">
      <c r="A4" s="78" t="s">
        <v>17</v>
      </c>
      <c r="B4" s="80"/>
      <c r="C4" s="19">
        <v>86.516927770424758</v>
      </c>
      <c r="D4" s="5">
        <v>86.665680498966239</v>
      </c>
      <c r="E4" s="5">
        <v>86.853539678832277</v>
      </c>
      <c r="F4" s="5">
        <v>86.371978419651853</v>
      </c>
      <c r="G4" s="5">
        <v>83.995380582877019</v>
      </c>
      <c r="H4" s="5">
        <v>73.781566737889904</v>
      </c>
      <c r="I4" s="9">
        <v>62.240604734181673</v>
      </c>
      <c r="J4" s="4" cm="1">
        <f t="array" ref="J4">-SUMPRODUCT((D1:I1-C1:H1)*(C4:H4+D4:I4)/2)</f>
        <v>80.468049968713686</v>
      </c>
      <c r="K4" s="4"/>
      <c r="L4" s="5"/>
      <c r="M4" s="78" t="s">
        <v>17</v>
      </c>
      <c r="N4" s="80"/>
      <c r="O4" s="5">
        <v>5.1834070986462946</v>
      </c>
      <c r="P4" s="5">
        <v>5.4365736893662229</v>
      </c>
      <c r="Q4" s="5">
        <v>5.6612603122177596</v>
      </c>
      <c r="R4" s="5">
        <v>6.6117141447354983</v>
      </c>
      <c r="S4" s="5">
        <v>7.1270112868271411</v>
      </c>
      <c r="T4" s="5">
        <v>7.8068089369480687</v>
      </c>
      <c r="U4" s="5">
        <v>7.0997291610880637</v>
      </c>
      <c r="V4" s="1"/>
    </row>
    <row r="5" spans="1:22" ht="15" customHeight="1" thickBot="1" x14ac:dyDescent="0.25">
      <c r="A5" s="114" t="s">
        <v>8</v>
      </c>
      <c r="B5" s="59" t="s">
        <v>13</v>
      </c>
      <c r="C5" s="13">
        <v>92.995175852155583</v>
      </c>
      <c r="D5" s="14">
        <v>92.601977525757164</v>
      </c>
      <c r="E5" s="14">
        <v>91.365703855569691</v>
      </c>
      <c r="F5" s="14">
        <v>85.336787803816065</v>
      </c>
      <c r="G5" s="14">
        <v>79.445367174456536</v>
      </c>
      <c r="H5" s="14">
        <v>66.809493738411803</v>
      </c>
      <c r="I5" s="15">
        <v>59.142645409274017</v>
      </c>
      <c r="J5" s="4" cm="1">
        <f t="array" ref="J5">-SUMPRODUCT((D1:I1-C1:H1)*(C5:H5+D5:I5)/2)</f>
        <v>82.566507784092721</v>
      </c>
      <c r="K5" s="4">
        <f t="shared" ref="K5:K9" si="0">C5*(1-1)^2+D5*(1-0.75)^2+E5*(1-0.5)^2+F5*(1-0.3)^2+G5*(1-0.2)^2+H5*(1-0.1)^2+I5*(1-0.05)^2</f>
        <v>228.78103798475766</v>
      </c>
      <c r="L5" s="5" t="str">
        <f>"    "&amp;_xlfn.TEXTJOIN(", ",TRUE,C5:I5)&amp;","</f>
        <v xml:space="preserve">    92.9951758521556, 92.6019775257572, 91.3657038555697, 85.3367878038161, 79.4453671744565, 66.8094937384118, 59.142645409274,</v>
      </c>
      <c r="M5" s="114" t="s">
        <v>8</v>
      </c>
      <c r="N5" s="59" t="s">
        <v>13</v>
      </c>
      <c r="O5" s="18">
        <v>3.928631333331702</v>
      </c>
      <c r="P5" s="16">
        <v>4.0791594857128057</v>
      </c>
      <c r="Q5" s="16">
        <v>4.0107901806670831</v>
      </c>
      <c r="R5" s="16">
        <v>5.2937552874872571</v>
      </c>
      <c r="S5" s="16">
        <v>6.0121265766979706</v>
      </c>
      <c r="T5" s="16">
        <v>9.4926325608664577</v>
      </c>
      <c r="U5" s="17">
        <v>10.653289736002559</v>
      </c>
      <c r="V5" s="1"/>
    </row>
    <row r="6" spans="1:22" ht="15" thickBot="1" x14ac:dyDescent="0.25">
      <c r="A6" s="115"/>
      <c r="B6" s="55" t="s">
        <v>14</v>
      </c>
      <c r="C6" s="13">
        <v>91.64639832524503</v>
      </c>
      <c r="D6" s="14">
        <v>91.179326810785568</v>
      </c>
      <c r="E6" s="14">
        <v>91.670876622346796</v>
      </c>
      <c r="F6" s="14">
        <v>89.829672690363537</v>
      </c>
      <c r="G6" s="14">
        <v>85.619887138585383</v>
      </c>
      <c r="H6" s="14">
        <v>69.221515757056721</v>
      </c>
      <c r="I6" s="15">
        <v>59.446785871850103</v>
      </c>
      <c r="J6" s="4" cm="1">
        <f t="array" ref="J6">-SUMPRODUCT((D1:I1-C1:H1)*(C6:H6+D6:I6)/2)</f>
        <v>83.590801679368624</v>
      </c>
      <c r="K6" s="4">
        <f t="shared" si="0"/>
        <v>237.14984648079422</v>
      </c>
      <c r="L6" s="5"/>
      <c r="M6" s="115"/>
      <c r="N6" s="55" t="s">
        <v>14</v>
      </c>
      <c r="O6" s="13">
        <v>3.8158990664547532</v>
      </c>
      <c r="P6" s="14">
        <v>4.5040663242822507</v>
      </c>
      <c r="Q6" s="14">
        <v>4.1493883345065337</v>
      </c>
      <c r="R6" s="14">
        <v>5.0212741784737993</v>
      </c>
      <c r="S6" s="14">
        <v>5.447400525219539</v>
      </c>
      <c r="T6" s="14">
        <v>9.346952550820161</v>
      </c>
      <c r="U6" s="15">
        <v>11.19512810637791</v>
      </c>
      <c r="V6" s="1"/>
    </row>
    <row r="7" spans="1:22" ht="15" thickBot="1" x14ac:dyDescent="0.25">
      <c r="A7" s="116"/>
      <c r="B7" s="55" t="s">
        <v>31</v>
      </c>
      <c r="C7" s="19">
        <v>91.713103054524666</v>
      </c>
      <c r="D7" s="5">
        <v>90.672975833124241</v>
      </c>
      <c r="E7" s="5">
        <v>89.819805246296809</v>
      </c>
      <c r="F7" s="5">
        <v>83.182608269391039</v>
      </c>
      <c r="G7" s="5">
        <v>75.457391499926459</v>
      </c>
      <c r="H7" s="5">
        <v>65.17558110364277</v>
      </c>
      <c r="I7" s="9">
        <v>53.011228470834517</v>
      </c>
      <c r="J7" s="4" cm="1">
        <f t="array" ref="J7">-SUMPRODUCT((D1:I1-C1:H1)*(C7:H7+D7:I7)/2)</f>
        <v>80.578417705458804</v>
      </c>
      <c r="K7" s="4"/>
      <c r="L7" s="5"/>
      <c r="M7" s="116"/>
      <c r="N7" s="55" t="s">
        <v>31</v>
      </c>
      <c r="O7" s="5">
        <v>4.7957635258948663</v>
      </c>
      <c r="P7" s="5">
        <v>5.1680048589653982</v>
      </c>
      <c r="Q7" s="5">
        <v>4.6440499580585062</v>
      </c>
      <c r="R7" s="5">
        <v>6.5890219979008053</v>
      </c>
      <c r="S7" s="5">
        <v>8.9620661065347029</v>
      </c>
      <c r="T7" s="5">
        <v>10.321949630760949</v>
      </c>
      <c r="U7" s="5">
        <v>10.619463751060399</v>
      </c>
      <c r="V7" s="1"/>
    </row>
    <row r="8" spans="1:22" ht="15" customHeight="1" thickBot="1" x14ac:dyDescent="0.25">
      <c r="A8" s="85" t="s">
        <v>29</v>
      </c>
      <c r="B8" s="72" t="s">
        <v>13</v>
      </c>
      <c r="C8" s="18">
        <v>93.338255521241535</v>
      </c>
      <c r="D8" s="16">
        <v>92.752483441321587</v>
      </c>
      <c r="E8" s="16">
        <v>92.131823516351062</v>
      </c>
      <c r="F8" s="16">
        <v>90.735767610446459</v>
      </c>
      <c r="G8" s="16">
        <v>87.866737601536343</v>
      </c>
      <c r="H8" s="16">
        <v>81.281599898499692</v>
      </c>
      <c r="I8" s="17">
        <v>65.8043841209699</v>
      </c>
      <c r="J8" s="4" cm="1">
        <f t="array" ref="J8">-SUMPRODUCT((D1:I1-C1:H1)*(C8:H8+D8:I8)/2)</f>
        <v>85.72333158879691</v>
      </c>
      <c r="K8" s="4">
        <f t="shared" si="0"/>
        <v>254.75177687523248</v>
      </c>
      <c r="L8" s="5"/>
      <c r="M8" s="85" t="s">
        <v>29</v>
      </c>
      <c r="N8" s="72" t="s">
        <v>13</v>
      </c>
      <c r="O8" s="18">
        <v>3.5369107439949632</v>
      </c>
      <c r="P8" s="16">
        <v>3.4887992911615942</v>
      </c>
      <c r="Q8" s="16">
        <v>3.1759944837676288</v>
      </c>
      <c r="R8" s="16">
        <v>3.616731062282271</v>
      </c>
      <c r="S8" s="16">
        <v>4.5370725036427793</v>
      </c>
      <c r="T8" s="16">
        <v>6.623616076723664</v>
      </c>
      <c r="U8" s="17">
        <v>8.4830340250231</v>
      </c>
      <c r="V8" s="1"/>
    </row>
    <row r="9" spans="1:22" ht="15" thickBot="1" x14ac:dyDescent="0.25">
      <c r="A9" s="100"/>
      <c r="B9" s="51" t="s">
        <v>14</v>
      </c>
      <c r="C9" s="13">
        <v>93.116027531956703</v>
      </c>
      <c r="D9" s="14">
        <v>91.309947894589612</v>
      </c>
      <c r="E9" s="14">
        <v>90.321735770493973</v>
      </c>
      <c r="F9" s="14">
        <v>88.298927038007832</v>
      </c>
      <c r="G9" s="14">
        <v>83.975504401710495</v>
      </c>
      <c r="H9" s="14">
        <v>72.463865027667495</v>
      </c>
      <c r="I9" s="15">
        <v>60.928168352090722</v>
      </c>
      <c r="J9" s="4" cm="1">
        <f t="array" ref="J9">-SUMPRODUCT((D1:I1-C1:H1)*(C9:H9+D9:I9)/2)</f>
        <v>83.389764545252689</v>
      </c>
      <c r="K9" s="4">
        <f t="shared" si="0"/>
        <v>238.98150536192645</v>
      </c>
      <c r="L9" s="5"/>
      <c r="M9" s="100"/>
      <c r="N9" s="51" t="s">
        <v>14</v>
      </c>
      <c r="O9" s="13">
        <v>3.2979076919592401</v>
      </c>
      <c r="P9" s="14">
        <v>4.0767052962517498</v>
      </c>
      <c r="Q9" s="14">
        <v>4.6663156461728947</v>
      </c>
      <c r="R9" s="14">
        <v>4.8727240910787302</v>
      </c>
      <c r="S9" s="14">
        <v>5.9672818964393297</v>
      </c>
      <c r="T9" s="14">
        <v>7.6275422250546434</v>
      </c>
      <c r="U9" s="15">
        <v>8.2184309033252347</v>
      </c>
      <c r="V9" s="1"/>
    </row>
    <row r="10" spans="1:22" ht="15" thickBot="1" x14ac:dyDescent="0.25">
      <c r="A10" s="113"/>
      <c r="B10" s="55" t="s">
        <v>31</v>
      </c>
      <c r="C10" s="75">
        <v>93.521192513199381</v>
      </c>
      <c r="D10" s="76">
        <v>92.410121771526278</v>
      </c>
      <c r="E10" s="76">
        <v>91.979466373699907</v>
      </c>
      <c r="F10" s="76">
        <v>88.02669573266202</v>
      </c>
      <c r="G10" s="76">
        <v>82.352771217744092</v>
      </c>
      <c r="H10" s="76">
        <v>69.581069040389622</v>
      </c>
      <c r="I10" s="77">
        <v>56.275331101480113</v>
      </c>
      <c r="J10" s="4" cm="1">
        <f t="array" ref="J10">-SUMPRODUCT((D1:I1-C1:H1)*(C10:H10+D10:I10)/2)</f>
        <v>83.552804378353912</v>
      </c>
      <c r="K10" s="4"/>
      <c r="L10" s="5"/>
      <c r="M10" s="113"/>
      <c r="N10" s="55" t="s">
        <v>31</v>
      </c>
      <c r="O10" s="2">
        <v>3.5588734952998089</v>
      </c>
      <c r="P10" s="2">
        <v>4.1287811052179082</v>
      </c>
      <c r="Q10" s="2">
        <v>4.2931089698242308</v>
      </c>
      <c r="R10" s="2">
        <v>4.7934232469360198</v>
      </c>
      <c r="S10" s="2">
        <v>6.672348326847497</v>
      </c>
      <c r="T10" s="2">
        <v>9.4189027677485289</v>
      </c>
      <c r="U10" s="2">
        <v>9.9180896509317336</v>
      </c>
      <c r="V10" s="1"/>
    </row>
    <row r="11" spans="1:22" ht="15" thickBot="1" x14ac:dyDescent="0.25">
      <c r="A11" s="45"/>
      <c r="B11" s="46"/>
      <c r="C11" s="46"/>
      <c r="D11" s="46"/>
      <c r="E11" s="46"/>
      <c r="F11" s="46"/>
      <c r="G11" s="46"/>
      <c r="H11" s="46"/>
      <c r="I11" s="47"/>
      <c r="J11" s="4"/>
      <c r="K11" s="4"/>
      <c r="L11" s="5"/>
      <c r="M11" s="45"/>
      <c r="N11" s="46"/>
      <c r="O11" s="46"/>
      <c r="P11" s="46"/>
      <c r="Q11" s="46"/>
      <c r="R11" s="46"/>
      <c r="S11" s="46"/>
      <c r="T11" s="46"/>
      <c r="U11" s="47"/>
      <c r="V11" s="1"/>
    </row>
    <row r="12" spans="1:22" ht="15" thickBot="1" x14ac:dyDescent="0.25">
      <c r="A12" s="106" t="s">
        <v>11</v>
      </c>
      <c r="B12" s="107"/>
      <c r="C12" s="107"/>
      <c r="D12" s="107"/>
      <c r="E12" s="107"/>
      <c r="F12" s="107"/>
      <c r="G12" s="107"/>
      <c r="H12" s="107"/>
      <c r="I12" s="108"/>
      <c r="J12" s="4"/>
      <c r="K12" s="4"/>
      <c r="L12" s="5"/>
      <c r="M12" s="106" t="s">
        <v>11</v>
      </c>
      <c r="N12" s="107"/>
      <c r="O12" s="107"/>
      <c r="P12" s="107"/>
      <c r="Q12" s="107"/>
      <c r="R12" s="107"/>
      <c r="S12" s="107"/>
      <c r="T12" s="107"/>
      <c r="U12" s="108"/>
      <c r="V12" s="1"/>
    </row>
    <row r="13" spans="1:22" x14ac:dyDescent="0.2">
      <c r="A13" s="88" t="s">
        <v>0</v>
      </c>
      <c r="B13" s="59" t="s">
        <v>1</v>
      </c>
      <c r="C13" s="18">
        <v>93.187876481053763</v>
      </c>
      <c r="D13" s="16">
        <v>92.419943079092363</v>
      </c>
      <c r="E13" s="16">
        <v>91.030305913834312</v>
      </c>
      <c r="F13" s="16">
        <v>87.638062036292141</v>
      </c>
      <c r="G13" s="16">
        <v>81.386496999685718</v>
      </c>
      <c r="H13" s="16">
        <v>61.648901230402799</v>
      </c>
      <c r="I13" s="17">
        <v>50.1996153369262</v>
      </c>
      <c r="J13" s="4"/>
      <c r="K13" s="4">
        <f t="shared" ref="K13:K28" si="1">C13*(1-1)^2+D13*(1-0.75)^2+E13*(1-0.5)^2+F13*(1-0.3)^2+G13*(1-0.2)^2+H13*(1-0.1)^2+I13*(1-0.05)^2</f>
        <v>218.80459423668603</v>
      </c>
      <c r="L13" s="5" t="str">
        <f t="shared" ref="L13:L19" si="2">"    "&amp;_xlfn.TEXTJOIN(", ",TRUE,C13:I13)&amp;","</f>
        <v xml:space="preserve">    93.1878764810538, 92.4199430790924, 91.0303059138343, 87.6380620362921, 81.3864969996857, 61.6489012304028, 50.1996153369262,</v>
      </c>
      <c r="M13" s="88" t="s">
        <v>0</v>
      </c>
      <c r="N13" s="59" t="s">
        <v>1</v>
      </c>
      <c r="O13" s="18">
        <v>3.6629641008104143</v>
      </c>
      <c r="P13" s="16">
        <v>4.0854882292556409</v>
      </c>
      <c r="Q13" s="16">
        <v>4.1120388115098363</v>
      </c>
      <c r="R13" s="16">
        <v>5.4598108584907283</v>
      </c>
      <c r="S13" s="16">
        <v>7.5605060738981908</v>
      </c>
      <c r="T13" s="16">
        <v>10.604590630198228</v>
      </c>
      <c r="U13" s="17">
        <v>8.9515611008684157</v>
      </c>
      <c r="V13" s="1"/>
    </row>
    <row r="14" spans="1:22" x14ac:dyDescent="0.2">
      <c r="A14" s="89"/>
      <c r="B14" s="61" t="s">
        <v>2</v>
      </c>
      <c r="C14" s="19">
        <v>93.308803132668416</v>
      </c>
      <c r="D14" s="5">
        <v>92.32654838421324</v>
      </c>
      <c r="E14" s="5">
        <v>90.944131581299729</v>
      </c>
      <c r="F14" s="5">
        <v>88.444112838346342</v>
      </c>
      <c r="G14" s="5">
        <v>81.14231668670719</v>
      </c>
      <c r="H14" s="5">
        <v>62.606790139476402</v>
      </c>
      <c r="I14" s="9">
        <v>47.764790352857723</v>
      </c>
      <c r="J14" s="4"/>
      <c r="K14" s="4">
        <f t="shared" si="1"/>
        <v>217.59436344605055</v>
      </c>
      <c r="L14" s="5" t="str">
        <f t="shared" si="2"/>
        <v xml:space="preserve">    93.3088031326684, 92.3265483842132, 90.9441315812997, 88.4441128383463, 81.1423166867072, 62.6067901394764, 47.7647903528577,</v>
      </c>
      <c r="M14" s="89"/>
      <c r="N14" s="61" t="s">
        <v>2</v>
      </c>
      <c r="O14" s="19">
        <v>3.8099284628268744</v>
      </c>
      <c r="P14" s="5">
        <v>4.3923869286198984</v>
      </c>
      <c r="Q14" s="5">
        <v>4.3803548174400602</v>
      </c>
      <c r="R14" s="5">
        <v>5.4605577308245961</v>
      </c>
      <c r="S14" s="5">
        <v>8.0077218140585149</v>
      </c>
      <c r="T14" s="5">
        <v>10.235120772896638</v>
      </c>
      <c r="U14" s="9">
        <v>8.5650148358917502</v>
      </c>
      <c r="V14" s="1"/>
    </row>
    <row r="15" spans="1:22" x14ac:dyDescent="0.2">
      <c r="A15" s="89"/>
      <c r="B15" s="61" t="s">
        <v>3</v>
      </c>
      <c r="C15" s="19">
        <v>93.311706848675158</v>
      </c>
      <c r="D15" s="5">
        <v>92.970564912614591</v>
      </c>
      <c r="E15" s="5">
        <v>92.714911028642135</v>
      </c>
      <c r="F15" s="5">
        <v>91.618528995348854</v>
      </c>
      <c r="G15" s="5">
        <v>84.537879508761606</v>
      </c>
      <c r="H15" s="5">
        <v>58.728483810413593</v>
      </c>
      <c r="I15" s="9">
        <v>46.321297473738248</v>
      </c>
      <c r="J15" s="4"/>
      <c r="K15" s="4">
        <f t="shared" si="1"/>
        <v>217.3617530140111</v>
      </c>
      <c r="L15" s="5" t="str">
        <f t="shared" si="2"/>
        <v xml:space="preserve">    93.3117068486752, 92.9705649126146, 92.7149110286421, 91.6185289953489, 84.5378795087616, 58.7284838104136, 46.3212974737382,</v>
      </c>
      <c r="M15" s="89"/>
      <c r="N15" s="61" t="s">
        <v>3</v>
      </c>
      <c r="O15" s="19">
        <v>3.6854249541106205</v>
      </c>
      <c r="P15" s="5">
        <v>3.5652997191661031</v>
      </c>
      <c r="Q15" s="5">
        <v>3.9267489059362291</v>
      </c>
      <c r="R15" s="5">
        <v>4.1607335839464268</v>
      </c>
      <c r="S15" s="5">
        <v>6.7329594829893642</v>
      </c>
      <c r="T15" s="5">
        <v>10.377592524298565</v>
      </c>
      <c r="U15" s="9">
        <v>7.8998713561129659</v>
      </c>
      <c r="V15" s="1"/>
    </row>
    <row r="16" spans="1:22" x14ac:dyDescent="0.2">
      <c r="A16" s="89"/>
      <c r="B16" s="61" t="s">
        <v>4</v>
      </c>
      <c r="C16" s="19">
        <v>93.259627390086976</v>
      </c>
      <c r="D16" s="5">
        <v>92.96466520759985</v>
      </c>
      <c r="E16" s="5">
        <v>92.449568479542776</v>
      </c>
      <c r="F16" s="5">
        <v>90.955452325135454</v>
      </c>
      <c r="G16" s="5">
        <v>84.191627955259108</v>
      </c>
      <c r="H16" s="5">
        <v>61.887989227127122</v>
      </c>
      <c r="I16" s="9">
        <v>46.872291282796567</v>
      </c>
      <c r="J16" s="4"/>
      <c r="K16" s="4">
        <f t="shared" si="1"/>
        <v>219.80501138273976</v>
      </c>
      <c r="L16" s="5" t="str">
        <f t="shared" si="2"/>
        <v xml:space="preserve">    93.259627390087, 92.9646652075999, 92.4495684795428, 90.9554523251355, 84.1916279552591, 61.8879892271271, 46.8722912827966,</v>
      </c>
      <c r="M16" s="89"/>
      <c r="N16" s="61" t="s">
        <v>4</v>
      </c>
      <c r="O16" s="19">
        <v>3.3697427990054161</v>
      </c>
      <c r="P16" s="5">
        <v>3.5456273836698302</v>
      </c>
      <c r="Q16" s="5">
        <v>3.8389563711719141</v>
      </c>
      <c r="R16" s="5">
        <v>4.3734364854011272</v>
      </c>
      <c r="S16" s="5">
        <v>7.1466759991199762</v>
      </c>
      <c r="T16" s="5">
        <v>10.218201810253335</v>
      </c>
      <c r="U16" s="9">
        <v>6.8495020521328724</v>
      </c>
      <c r="V16" s="1"/>
    </row>
    <row r="17" spans="1:22" x14ac:dyDescent="0.2">
      <c r="A17" s="89"/>
      <c r="B17" s="61" t="s">
        <v>5</v>
      </c>
      <c r="C17" s="19">
        <v>93.593909405214006</v>
      </c>
      <c r="D17" s="5">
        <v>93.284284466128582</v>
      </c>
      <c r="E17" s="5">
        <v>92.669714559237818</v>
      </c>
      <c r="F17" s="5">
        <v>89.612317868955046</v>
      </c>
      <c r="G17" s="5">
        <v>84.325126803288398</v>
      </c>
      <c r="H17" s="5">
        <v>63.609272859915158</v>
      </c>
      <c r="I17" s="9">
        <v>49.422076892245308</v>
      </c>
      <c r="J17" s="4"/>
      <c r="K17" s="4">
        <f t="shared" si="1"/>
        <v>223.0027487406177</v>
      </c>
      <c r="L17" s="5" t="str">
        <f t="shared" si="2"/>
        <v xml:space="preserve">    93.593909405214, 93.2842844661286, 92.6697145592378, 89.612317868955, 84.3251268032884, 63.6092728599152, 49.4220768922453,</v>
      </c>
      <c r="M17" s="89"/>
      <c r="N17" s="61" t="s">
        <v>5</v>
      </c>
      <c r="O17" s="19">
        <v>3.5074053242674119</v>
      </c>
      <c r="P17" s="5">
        <v>3.9399538658766482</v>
      </c>
      <c r="Q17" s="5">
        <v>4.159993860751583</v>
      </c>
      <c r="R17" s="5">
        <v>5.1168143294470738</v>
      </c>
      <c r="S17" s="5">
        <v>6.5623946230239643</v>
      </c>
      <c r="T17" s="5">
        <v>11.499157764357163</v>
      </c>
      <c r="U17" s="9">
        <v>10.586918286592827</v>
      </c>
      <c r="V17" s="1"/>
    </row>
    <row r="18" spans="1:22" x14ac:dyDescent="0.2">
      <c r="A18" s="89"/>
      <c r="B18" s="61" t="s">
        <v>6</v>
      </c>
      <c r="C18" s="19">
        <v>93.271403731866201</v>
      </c>
      <c r="D18" s="5">
        <v>93.159332404836263</v>
      </c>
      <c r="E18" s="5">
        <v>92.607934901397655</v>
      </c>
      <c r="F18" s="5">
        <v>91.395767552775823</v>
      </c>
      <c r="G18" s="5">
        <v>86.100098905123176</v>
      </c>
      <c r="H18" s="5">
        <v>60.13909866579008</v>
      </c>
      <c r="I18" s="9">
        <v>45.242222395234101</v>
      </c>
      <c r="J18" s="4" cm="1">
        <f t="array" ref="J18">-SUMPRODUCT((D1:I1-C1:H1)*(C18:H18+D18:I18)/2)</f>
        <v>83.746406903750611</v>
      </c>
      <c r="K18" s="4">
        <f t="shared" si="1"/>
        <v>218.40620703177942</v>
      </c>
      <c r="L18" s="5" t="str">
        <f t="shared" si="2"/>
        <v xml:space="preserve">    93.2714037318662, 93.1593324048363, 92.6079349013977, 91.3957675527758, 86.1000989051232, 60.1390986657901, 45.2422223952341,</v>
      </c>
      <c r="M18" s="89"/>
      <c r="N18" s="61" t="s">
        <v>6</v>
      </c>
      <c r="O18" s="19">
        <v>3.311889145333164</v>
      </c>
      <c r="P18" s="5">
        <v>3.5622318729197451</v>
      </c>
      <c r="Q18" s="5">
        <v>3.7249656002914562</v>
      </c>
      <c r="R18" s="5">
        <v>4.592478163076521</v>
      </c>
      <c r="S18" s="5">
        <v>5.9203738735922764</v>
      </c>
      <c r="T18" s="5">
        <v>9.725428258600461</v>
      </c>
      <c r="U18" s="9">
        <v>7.8411073439630128</v>
      </c>
      <c r="V18" s="1"/>
    </row>
    <row r="19" spans="1:22" ht="15" thickBot="1" x14ac:dyDescent="0.25">
      <c r="A19" s="90"/>
      <c r="B19" s="63" t="s">
        <v>7</v>
      </c>
      <c r="C19" s="21">
        <v>93.614587208078504</v>
      </c>
      <c r="D19" s="22">
        <v>92.683728521296331</v>
      </c>
      <c r="E19" s="22">
        <v>92.067301620256245</v>
      </c>
      <c r="F19" s="22">
        <v>89.309630706147985</v>
      </c>
      <c r="G19" s="22">
        <v>84.609852449704022</v>
      </c>
      <c r="H19" s="22">
        <v>64.470915261666036</v>
      </c>
      <c r="I19" s="23">
        <v>50.663073786682133</v>
      </c>
      <c r="J19" s="4"/>
      <c r="K19" s="4">
        <f t="shared" si="1"/>
        <v>224.6664485058983</v>
      </c>
      <c r="L19" s="5" t="str">
        <f t="shared" si="2"/>
        <v xml:space="preserve">    93.6145872080785, 92.6837285212963, 92.0673016202562, 89.309630706148, 84.609852449704, 64.470915261666, 50.6630737866821,</v>
      </c>
      <c r="M19" s="90"/>
      <c r="N19" s="63" t="s">
        <v>7</v>
      </c>
      <c r="O19" s="21">
        <v>3.5679190940153709</v>
      </c>
      <c r="P19" s="22">
        <v>5.0380655017886244</v>
      </c>
      <c r="Q19" s="22">
        <v>4.1912600383848426</v>
      </c>
      <c r="R19" s="22">
        <v>5.0446554677555504</v>
      </c>
      <c r="S19" s="22">
        <v>6.8308155253380578</v>
      </c>
      <c r="T19" s="22">
        <v>11.985648803016417</v>
      </c>
      <c r="U19" s="23">
        <v>9.3215519312796236</v>
      </c>
      <c r="V19" s="1"/>
    </row>
    <row r="20" spans="1:22" ht="15" thickBot="1" x14ac:dyDescent="0.25">
      <c r="A20" s="4"/>
      <c r="B20" s="4"/>
      <c r="C20" s="5"/>
      <c r="D20" s="5"/>
      <c r="E20" s="5"/>
      <c r="F20" s="5"/>
      <c r="G20" s="5"/>
      <c r="H20" s="5"/>
      <c r="I20" s="5"/>
      <c r="J20" s="4"/>
      <c r="K20" s="4"/>
      <c r="L20" s="5"/>
      <c r="M20" s="20"/>
      <c r="N20" s="48"/>
      <c r="O20" s="21"/>
      <c r="P20" s="22"/>
      <c r="Q20" s="22"/>
      <c r="R20" s="22"/>
      <c r="S20" s="22"/>
      <c r="T20" s="22"/>
      <c r="U20" s="23"/>
      <c r="V20" s="1"/>
    </row>
    <row r="21" spans="1:22" ht="15" thickBot="1" x14ac:dyDescent="0.25">
      <c r="A21" s="106" t="s">
        <v>10</v>
      </c>
      <c r="B21" s="107"/>
      <c r="C21" s="107"/>
      <c r="D21" s="107"/>
      <c r="E21" s="107"/>
      <c r="F21" s="107"/>
      <c r="G21" s="107"/>
      <c r="H21" s="107"/>
      <c r="I21" s="108"/>
      <c r="J21" s="4"/>
      <c r="K21" s="4"/>
      <c r="L21" s="5"/>
      <c r="M21" s="106" t="s">
        <v>10</v>
      </c>
      <c r="N21" s="107"/>
      <c r="O21" s="107"/>
      <c r="P21" s="107"/>
      <c r="Q21" s="107"/>
      <c r="R21" s="107"/>
      <c r="S21" s="107"/>
      <c r="T21" s="107"/>
      <c r="U21" s="108"/>
      <c r="V21" s="1"/>
    </row>
    <row r="22" spans="1:22" x14ac:dyDescent="0.2">
      <c r="A22" s="88" t="s">
        <v>0</v>
      </c>
      <c r="B22" s="58" t="s">
        <v>1</v>
      </c>
      <c r="C22" s="16">
        <v>92.79746076234801</v>
      </c>
      <c r="D22" s="16">
        <v>92.09972981311833</v>
      </c>
      <c r="E22" s="16">
        <v>91.994123363235545</v>
      </c>
      <c r="F22" s="16">
        <v>89.541535826434497</v>
      </c>
      <c r="G22" s="16">
        <v>81.67196083011099</v>
      </c>
      <c r="H22" s="16">
        <v>63.762388371295017</v>
      </c>
      <c r="I22" s="17">
        <v>48.357978875249778</v>
      </c>
      <c r="J22" s="4"/>
      <c r="K22" s="4">
        <f t="shared" si="1"/>
        <v>220.19078195601463</v>
      </c>
      <c r="L22" s="5" t="str">
        <f t="shared" ref="L22:L28" si="3">"    "&amp;_xlfn.TEXTJOIN(", ",TRUE,C22:I22)&amp;","</f>
        <v xml:space="preserve">    92.797460762348, 92.0997298131183, 91.9941233632355, 89.5415358264345, 81.671960830111, 63.762388371295, 48.3579788752498,</v>
      </c>
      <c r="M22" s="88" t="s">
        <v>0</v>
      </c>
      <c r="N22" s="58" t="s">
        <v>1</v>
      </c>
      <c r="O22" s="16">
        <v>3.5644328509299981</v>
      </c>
      <c r="P22" s="16">
        <v>4.2050438921565183</v>
      </c>
      <c r="Q22" s="16">
        <v>3.8992827190949368</v>
      </c>
      <c r="R22" s="16">
        <v>4.4855441585972624</v>
      </c>
      <c r="S22" s="16">
        <v>6.3300685901903293</v>
      </c>
      <c r="T22" s="16">
        <v>9.4934523864393956</v>
      </c>
      <c r="U22" s="17">
        <v>7.6336882851862198</v>
      </c>
      <c r="V22" s="1"/>
    </row>
    <row r="23" spans="1:22" x14ac:dyDescent="0.2">
      <c r="A23" s="89"/>
      <c r="B23" s="60" t="s">
        <v>2</v>
      </c>
      <c r="C23" s="5">
        <v>92.97743636767332</v>
      </c>
      <c r="D23" s="5">
        <v>92.087691069991962</v>
      </c>
      <c r="E23" s="5">
        <v>91.488331790644082</v>
      </c>
      <c r="F23" s="5">
        <v>87.81749842126662</v>
      </c>
      <c r="G23" s="5">
        <v>80.833879762512382</v>
      </c>
      <c r="H23" s="5">
        <v>68.633586795733521</v>
      </c>
      <c r="I23" s="9">
        <v>51.679287883113183</v>
      </c>
      <c r="J23" s="4"/>
      <c r="K23" s="4">
        <f t="shared" si="1"/>
        <v>225.62558353301787</v>
      </c>
      <c r="L23" s="5" t="str">
        <f t="shared" si="3"/>
        <v xml:space="preserve">    92.9774363676733, 92.087691069992, 91.4883317906441, 87.8174984212666, 80.8338797625124, 68.6335867957335, 51.6792878831132,</v>
      </c>
      <c r="M23" s="89"/>
      <c r="N23" s="60" t="s">
        <v>2</v>
      </c>
      <c r="O23" s="5">
        <v>3.7639591510057691</v>
      </c>
      <c r="P23" s="5">
        <v>4.104491980795232</v>
      </c>
      <c r="Q23" s="5">
        <v>3.870871676227456</v>
      </c>
      <c r="R23" s="5">
        <v>4.5942331539360346</v>
      </c>
      <c r="S23" s="5">
        <v>6.091605017041668</v>
      </c>
      <c r="T23" s="5">
        <v>7.8884246682162882</v>
      </c>
      <c r="U23" s="9">
        <v>9.5582419416123336</v>
      </c>
      <c r="V23" s="1"/>
    </row>
    <row r="24" spans="1:22" x14ac:dyDescent="0.2">
      <c r="A24" s="89"/>
      <c r="B24" s="60" t="s">
        <v>3</v>
      </c>
      <c r="C24" s="5">
        <v>92.962718823980623</v>
      </c>
      <c r="D24" s="5">
        <v>92.579235114490601</v>
      </c>
      <c r="E24" s="5">
        <v>91.736531746237702</v>
      </c>
      <c r="F24" s="5">
        <v>90.831074086569373</v>
      </c>
      <c r="G24" s="5">
        <v>86.960486970763881</v>
      </c>
      <c r="H24" s="5">
        <v>69.958056153888293</v>
      </c>
      <c r="I24" s="9">
        <v>54.800733570359597</v>
      </c>
      <c r="J24" s="4"/>
      <c r="K24" s="4">
        <f t="shared" si="1"/>
        <v>235.005960626822</v>
      </c>
      <c r="L24" s="5" t="str">
        <f t="shared" si="3"/>
        <v xml:space="preserve">    92.9627188239806, 92.5792351144906, 91.7365317462377, 90.8310740865694, 86.9604869707639, 69.9580561538883, 54.8007335703596,</v>
      </c>
      <c r="M24" s="89"/>
      <c r="N24" s="60" t="s">
        <v>3</v>
      </c>
      <c r="O24" s="5">
        <v>3.553358547509589</v>
      </c>
      <c r="P24" s="5">
        <v>3.662068131482219</v>
      </c>
      <c r="Q24" s="5">
        <v>4.032821683747013</v>
      </c>
      <c r="R24" s="5">
        <v>3.6348682459522301</v>
      </c>
      <c r="S24" s="5">
        <v>5.3451431508529517</v>
      </c>
      <c r="T24" s="5">
        <v>8.3081066836923902</v>
      </c>
      <c r="U24" s="9">
        <v>7.8130971653945478</v>
      </c>
      <c r="V24" s="1"/>
    </row>
    <row r="25" spans="1:22" x14ac:dyDescent="0.2">
      <c r="A25" s="89"/>
      <c r="B25" s="60" t="s">
        <v>4</v>
      </c>
      <c r="C25" s="5">
        <v>91.673641928851779</v>
      </c>
      <c r="D25" s="5">
        <v>91.867395046669955</v>
      </c>
      <c r="E25" s="5">
        <v>91.50381635365936</v>
      </c>
      <c r="F25" s="5">
        <v>91.379175713746079</v>
      </c>
      <c r="G25" s="5">
        <v>88.831829571766775</v>
      </c>
      <c r="H25" s="5">
        <v>70.023970795595105</v>
      </c>
      <c r="I25" s="9">
        <v>56.420684146633327</v>
      </c>
      <c r="J25" s="4"/>
      <c r="K25" s="4">
        <f t="shared" si="1"/>
        <v>237.88491709126663</v>
      </c>
      <c r="L25" s="5" t="str">
        <f t="shared" si="3"/>
        <v xml:space="preserve">    91.6736419288518, 91.86739504667, 91.5038163536594, 91.3791757137461, 88.8318295717668, 70.0239707955951, 56.4206841466333,</v>
      </c>
      <c r="M25" s="89"/>
      <c r="N25" s="60" t="s">
        <v>4</v>
      </c>
      <c r="O25" s="5">
        <v>4.0996055394193416</v>
      </c>
      <c r="P25" s="5">
        <v>3.9363678196477259</v>
      </c>
      <c r="Q25" s="5">
        <v>4.4775085930829679</v>
      </c>
      <c r="R25" s="5">
        <v>4.3467311762055054</v>
      </c>
      <c r="S25" s="5">
        <v>5.4186476543956417</v>
      </c>
      <c r="T25" s="5">
        <v>8.3279626177723625</v>
      </c>
      <c r="U25" s="9">
        <v>12.764011594024289</v>
      </c>
      <c r="V25" s="1"/>
    </row>
    <row r="26" spans="1:22" x14ac:dyDescent="0.2">
      <c r="A26" s="89"/>
      <c r="B26" s="60" t="s">
        <v>5</v>
      </c>
      <c r="C26" s="5">
        <v>92.522198865618762</v>
      </c>
      <c r="D26" s="5">
        <v>92.258701776543617</v>
      </c>
      <c r="E26" s="5">
        <v>91.286063604933133</v>
      </c>
      <c r="F26" s="5">
        <v>87.347272323578352</v>
      </c>
      <c r="G26" s="5">
        <v>80.924079504724673</v>
      </c>
      <c r="H26" s="5">
        <v>68.770987061595122</v>
      </c>
      <c r="I26" s="9">
        <v>53.587911660135468</v>
      </c>
      <c r="J26" s="4"/>
      <c r="K26" s="4">
        <f t="shared" si="1"/>
        <v>227.24684887700877</v>
      </c>
      <c r="L26" s="5" t="str">
        <f t="shared" si="3"/>
        <v xml:space="preserve">    92.5221988656188, 92.2587017765436, 91.2860636049331, 87.3472723235784, 80.9240795047247, 68.7709870615951, 53.5879116601355,</v>
      </c>
      <c r="M26" s="89"/>
      <c r="N26" s="60" t="s">
        <v>5</v>
      </c>
      <c r="O26" s="5">
        <v>4.1122508316799324</v>
      </c>
      <c r="P26" s="5">
        <v>3.9130111858628869</v>
      </c>
      <c r="Q26" s="5">
        <v>4.1402320670424677</v>
      </c>
      <c r="R26" s="5">
        <v>4.9319868448576356</v>
      </c>
      <c r="S26" s="5">
        <v>5.4027181636296984</v>
      </c>
      <c r="T26" s="5">
        <v>7.5963973372628857</v>
      </c>
      <c r="U26" s="9">
        <v>8.757832692110993</v>
      </c>
      <c r="V26" s="1"/>
    </row>
    <row r="27" spans="1:22" x14ac:dyDescent="0.2">
      <c r="A27" s="89"/>
      <c r="B27" s="60" t="s">
        <v>6</v>
      </c>
      <c r="C27" s="5">
        <v>92.90466180503293</v>
      </c>
      <c r="D27" s="5">
        <v>92.576285261983244</v>
      </c>
      <c r="E27" s="5">
        <v>92.469101520486021</v>
      </c>
      <c r="F27" s="5">
        <v>90.667136682266573</v>
      </c>
      <c r="G27" s="5">
        <v>86.385868389864967</v>
      </c>
      <c r="H27" s="5">
        <v>70.341681156411397</v>
      </c>
      <c r="I27" s="9">
        <v>54.346721569102392</v>
      </c>
      <c r="J27" s="4" cm="1">
        <f t="array" ref="J27">-SUMPRODUCT((D1:I1-C1:H1)*(C27:H27+D27:I27)/2)</f>
        <v>84.435653350519189</v>
      </c>
      <c r="K27" s="4">
        <f t="shared" si="1"/>
        <v>234.6418239056278</v>
      </c>
      <c r="L27" s="5" t="str">
        <f t="shared" si="3"/>
        <v xml:space="preserve">    92.9046618050329, 92.5762852619832, 92.469101520486, 90.6671366822666, 86.385868389865, 70.3416811564114, 54.3467215691024,</v>
      </c>
      <c r="M27" s="89"/>
      <c r="N27" s="60" t="s">
        <v>6</v>
      </c>
      <c r="O27" s="5">
        <v>3.576588513898638</v>
      </c>
      <c r="P27" s="5">
        <v>3.6384489067435961</v>
      </c>
      <c r="Q27" s="5">
        <v>3.4880286605455821</v>
      </c>
      <c r="R27" s="5">
        <v>3.9701665356541431</v>
      </c>
      <c r="S27" s="5">
        <v>5.5319131411834084</v>
      </c>
      <c r="T27" s="5">
        <v>7.9689437293106389</v>
      </c>
      <c r="U27" s="9">
        <v>7.6891218324711899</v>
      </c>
      <c r="V27" s="1"/>
    </row>
    <row r="28" spans="1:22" ht="14.25" customHeight="1" thickBot="1" x14ac:dyDescent="0.25">
      <c r="A28" s="90"/>
      <c r="B28" s="62" t="s">
        <v>7</v>
      </c>
      <c r="C28" s="22">
        <v>92.532008639059754</v>
      </c>
      <c r="D28" s="22">
        <v>92.511359671508131</v>
      </c>
      <c r="E28" s="22">
        <v>92.431794392685063</v>
      </c>
      <c r="F28" s="22">
        <v>89.802189753659917</v>
      </c>
      <c r="G28" s="22">
        <v>84.27001963684809</v>
      </c>
      <c r="H28" s="22">
        <v>69.728111834877453</v>
      </c>
      <c r="I28" s="23">
        <v>54.61681617776393</v>
      </c>
      <c r="J28" s="4"/>
      <c r="K28" s="4">
        <f t="shared" si="1"/>
        <v>232.59724131119933</v>
      </c>
      <c r="L28" s="5" t="str">
        <f t="shared" si="3"/>
        <v xml:space="preserve">    92.5320086390598, 92.5113596715081, 92.4317943926851, 89.8021897536599, 84.2700196368481, 69.7281118348775, 54.6168161777639,</v>
      </c>
      <c r="M28" s="90"/>
      <c r="N28" s="62" t="s">
        <v>7</v>
      </c>
      <c r="O28" s="22">
        <v>3.8648153044722311</v>
      </c>
      <c r="P28" s="22">
        <v>3.535077470212221</v>
      </c>
      <c r="Q28" s="22">
        <v>3.6384347466350571</v>
      </c>
      <c r="R28" s="22">
        <v>3.8089521492813971</v>
      </c>
      <c r="S28" s="22">
        <v>5.4822989134189646</v>
      </c>
      <c r="T28" s="22">
        <v>8.2183912200903393</v>
      </c>
      <c r="U28" s="23">
        <v>7.7989831950532231</v>
      </c>
      <c r="V28" s="1"/>
    </row>
    <row r="29" spans="1:22" ht="15" thickBot="1" x14ac:dyDescent="0.25">
      <c r="K29" s="1"/>
      <c r="V29" s="1"/>
    </row>
    <row r="30" spans="1:22" ht="15" thickBot="1" x14ac:dyDescent="0.25">
      <c r="A30" s="69" t="s">
        <v>26</v>
      </c>
      <c r="B30" s="65" t="s">
        <v>27</v>
      </c>
      <c r="C30" s="67">
        <v>1</v>
      </c>
      <c r="D30" s="67">
        <v>0.75</v>
      </c>
      <c r="E30" s="67">
        <v>0.5</v>
      </c>
      <c r="F30" s="67">
        <v>0.3</v>
      </c>
      <c r="G30" s="67">
        <v>0.2</v>
      </c>
      <c r="H30" s="67">
        <v>0.1</v>
      </c>
      <c r="I30" s="65">
        <v>0.05</v>
      </c>
      <c r="J30" s="24"/>
      <c r="K30" s="24"/>
      <c r="L30" s="25"/>
      <c r="M30" s="69" t="s">
        <v>28</v>
      </c>
      <c r="N30" s="65" t="s">
        <v>27</v>
      </c>
      <c r="O30" s="67">
        <v>1</v>
      </c>
      <c r="P30" s="67">
        <v>0.75</v>
      </c>
      <c r="Q30" s="67">
        <v>0.5</v>
      </c>
      <c r="R30" s="67">
        <v>0.3</v>
      </c>
      <c r="S30" s="67">
        <v>0.2</v>
      </c>
      <c r="T30" s="67">
        <v>0.1</v>
      </c>
      <c r="U30" s="65">
        <v>0.05</v>
      </c>
      <c r="V30" s="1"/>
    </row>
    <row r="31" spans="1:22" ht="15" thickBot="1" x14ac:dyDescent="0.25">
      <c r="A31" s="81" t="s">
        <v>22</v>
      </c>
      <c r="B31" s="82"/>
      <c r="C31" s="26">
        <v>92.567111769713335</v>
      </c>
      <c r="D31" s="26">
        <v>90.835858608343599</v>
      </c>
      <c r="E31" s="26">
        <v>89.217505339533233</v>
      </c>
      <c r="F31" s="26">
        <v>83.237245964288078</v>
      </c>
      <c r="G31" s="26">
        <v>75.380430844191011</v>
      </c>
      <c r="H31" s="26">
        <v>58.994367187597383</v>
      </c>
      <c r="I31" s="27">
        <v>43.622535641382179</v>
      </c>
      <c r="J31" s="25"/>
      <c r="K31" s="24"/>
      <c r="L31" s="25"/>
      <c r="M31" s="81" t="s">
        <v>22</v>
      </c>
      <c r="N31" s="82"/>
      <c r="O31" s="25">
        <v>3.88093621561358</v>
      </c>
      <c r="P31" s="25">
        <v>4.8164746829677396</v>
      </c>
      <c r="Q31" s="25">
        <v>5.2250608386616522</v>
      </c>
      <c r="R31" s="25">
        <v>5.6675721086724113</v>
      </c>
      <c r="S31" s="25">
        <v>8.3263283482936075</v>
      </c>
      <c r="T31" s="25">
        <v>10.49020927094638</v>
      </c>
      <c r="U31" s="28">
        <v>11.060437347759546</v>
      </c>
      <c r="V31" s="1"/>
    </row>
    <row r="32" spans="1:22" ht="15" thickBot="1" x14ac:dyDescent="0.25">
      <c r="A32" s="83" t="s">
        <v>16</v>
      </c>
      <c r="B32" s="84"/>
      <c r="C32" s="36">
        <v>89.091144513484792</v>
      </c>
      <c r="D32" s="26">
        <v>88.532444541621487</v>
      </c>
      <c r="E32" s="26">
        <v>87.091035968025309</v>
      </c>
      <c r="F32" s="26">
        <v>82.49212678195542</v>
      </c>
      <c r="G32" s="26">
        <v>78.404864197394232</v>
      </c>
      <c r="H32" s="26">
        <v>65.108004769341349</v>
      </c>
      <c r="I32" s="27">
        <v>45.383830906475893</v>
      </c>
      <c r="J32" s="25"/>
      <c r="K32" s="24"/>
      <c r="L32" s="25"/>
      <c r="M32" s="83" t="s">
        <v>16</v>
      </c>
      <c r="N32" s="84"/>
      <c r="O32" s="36">
        <v>5.8923539039658843</v>
      </c>
      <c r="P32" s="26">
        <v>6.3714672776132906</v>
      </c>
      <c r="Q32" s="26">
        <v>7.2348097245896552</v>
      </c>
      <c r="R32" s="26">
        <v>10.84553275656566</v>
      </c>
      <c r="S32" s="26">
        <v>12.817535883021769</v>
      </c>
      <c r="T32" s="26">
        <v>12.24400547643862</v>
      </c>
      <c r="U32" s="27">
        <v>9.639536755413328</v>
      </c>
      <c r="V32" s="1"/>
    </row>
    <row r="33" spans="1:22" ht="15" thickBot="1" x14ac:dyDescent="0.25">
      <c r="A33" s="83" t="s">
        <v>17</v>
      </c>
      <c r="B33" s="84"/>
      <c r="C33" s="36">
        <v>85.741374083226546</v>
      </c>
      <c r="D33" s="26">
        <v>85.804305125363982</v>
      </c>
      <c r="E33" s="26">
        <v>86.080704122689539</v>
      </c>
      <c r="F33" s="26">
        <v>85.543210676138614</v>
      </c>
      <c r="G33" s="26">
        <v>83.015709459310699</v>
      </c>
      <c r="H33" s="26">
        <v>72.552621372052599</v>
      </c>
      <c r="I33" s="27">
        <v>60.37570551170144</v>
      </c>
      <c r="J33" s="25"/>
      <c r="K33" s="24"/>
      <c r="L33" s="25"/>
      <c r="M33" s="83" t="s">
        <v>17</v>
      </c>
      <c r="N33" s="84"/>
      <c r="O33" s="36">
        <v>5.5691696587585708</v>
      </c>
      <c r="P33" s="26">
        <v>5.94594753688102</v>
      </c>
      <c r="Q33" s="26">
        <v>6.1418944454331781</v>
      </c>
      <c r="R33" s="26">
        <v>7.2724316109064144</v>
      </c>
      <c r="S33" s="26">
        <v>8.0003529649381697</v>
      </c>
      <c r="T33" s="26">
        <v>8.555663894113005</v>
      </c>
      <c r="U33" s="27">
        <v>7.6798237264164806</v>
      </c>
      <c r="V33" s="1"/>
    </row>
    <row r="34" spans="1:22" ht="15" customHeight="1" thickBot="1" x14ac:dyDescent="0.25">
      <c r="A34" s="103" t="s">
        <v>8</v>
      </c>
      <c r="B34" s="70" t="s">
        <v>13</v>
      </c>
      <c r="C34" s="33">
        <v>92.57179312551817</v>
      </c>
      <c r="D34" s="34">
        <v>92.192838707727574</v>
      </c>
      <c r="E34" s="34">
        <v>90.943851956216648</v>
      </c>
      <c r="F34" s="34">
        <v>84.818951836070681</v>
      </c>
      <c r="G34" s="34">
        <v>78.583064117934526</v>
      </c>
      <c r="H34" s="34">
        <v>65.470585571249202</v>
      </c>
      <c r="I34" s="35">
        <v>56.549372115897242</v>
      </c>
      <c r="J34" s="25"/>
      <c r="K34" s="24"/>
      <c r="L34" s="25"/>
      <c r="M34" s="103" t="s">
        <v>8</v>
      </c>
      <c r="N34" s="70" t="s">
        <v>13</v>
      </c>
      <c r="O34" s="33">
        <v>4.2970900200547248</v>
      </c>
      <c r="P34" s="34">
        <v>4.4201469598446934</v>
      </c>
      <c r="Q34" s="34">
        <v>4.3530873376475094</v>
      </c>
      <c r="R34" s="34">
        <v>5.5432639082482673</v>
      </c>
      <c r="S34" s="34">
        <v>6.4601227243547781</v>
      </c>
      <c r="T34" s="34">
        <v>10.02730940337854</v>
      </c>
      <c r="U34" s="35">
        <v>11.78125058878045</v>
      </c>
      <c r="V34" s="1"/>
    </row>
    <row r="35" spans="1:22" ht="15" thickBot="1" x14ac:dyDescent="0.25">
      <c r="A35" s="104"/>
      <c r="B35" s="64" t="s">
        <v>14</v>
      </c>
      <c r="C35" s="36">
        <v>91.150185018145393</v>
      </c>
      <c r="D35" s="26">
        <v>90.66344543037772</v>
      </c>
      <c r="E35" s="26">
        <v>91.214547832455892</v>
      </c>
      <c r="F35" s="26">
        <v>89.231571189412421</v>
      </c>
      <c r="G35" s="26">
        <v>84.980466719185245</v>
      </c>
      <c r="H35" s="26">
        <v>67.96520669264342</v>
      </c>
      <c r="I35" s="27">
        <v>57.094768443857177</v>
      </c>
      <c r="J35" s="25"/>
      <c r="K35" s="24"/>
      <c r="L35" s="25"/>
      <c r="M35" s="104"/>
      <c r="N35" s="64" t="s">
        <v>14</v>
      </c>
      <c r="O35" s="36">
        <v>4.1975941752007664</v>
      </c>
      <c r="P35" s="26">
        <v>4.8503486283255048</v>
      </c>
      <c r="Q35" s="26">
        <v>4.5194818596784581</v>
      </c>
      <c r="R35" s="26">
        <v>5.4908089139402074</v>
      </c>
      <c r="S35" s="26">
        <v>5.7189247443035436</v>
      </c>
      <c r="T35" s="26">
        <v>9.7048299468359911</v>
      </c>
      <c r="U35" s="27">
        <v>12.02495874531626</v>
      </c>
      <c r="V35" s="1"/>
    </row>
    <row r="36" spans="1:22" ht="15" thickBot="1" x14ac:dyDescent="0.25">
      <c r="A36" s="105"/>
      <c r="B36" s="73" t="s">
        <v>30</v>
      </c>
      <c r="C36" s="25">
        <v>91.306475167285953</v>
      </c>
      <c r="D36" s="25">
        <v>90.258914836136498</v>
      </c>
      <c r="E36" s="25">
        <v>89.281668603165684</v>
      </c>
      <c r="F36" s="25">
        <v>82.385883497728983</v>
      </c>
      <c r="G36" s="25">
        <v>74.251494730858411</v>
      </c>
      <c r="H36" s="25">
        <v>63.330045861583493</v>
      </c>
      <c r="I36" s="25">
        <v>47.823915128406554</v>
      </c>
      <c r="J36" s="25"/>
      <c r="K36" s="24"/>
      <c r="L36" s="25"/>
      <c r="M36" s="105"/>
      <c r="N36" s="73" t="s">
        <v>30</v>
      </c>
      <c r="O36" s="25">
        <v>5.1256275621335901</v>
      </c>
      <c r="P36" s="25">
        <v>5.4768261459924759</v>
      </c>
      <c r="Q36" s="25">
        <v>5.0499314727575264</v>
      </c>
      <c r="R36" s="25">
        <v>7.2219003661998276</v>
      </c>
      <c r="S36" s="25">
        <v>9.7227037935273426</v>
      </c>
      <c r="T36" s="25">
        <v>10.898188356111071</v>
      </c>
      <c r="U36" s="25">
        <v>12.40714027693687</v>
      </c>
      <c r="V36" s="1"/>
    </row>
    <row r="37" spans="1:22" ht="15" customHeight="1" thickBot="1" x14ac:dyDescent="0.25">
      <c r="A37" s="103" t="s">
        <v>29</v>
      </c>
      <c r="B37" s="74" t="s">
        <v>13</v>
      </c>
      <c r="C37" s="34">
        <v>92.889839945952389</v>
      </c>
      <c r="D37" s="34">
        <v>92.368608847778347</v>
      </c>
      <c r="E37" s="34">
        <v>91.61867960283918</v>
      </c>
      <c r="F37" s="34">
        <v>89.961686047279699</v>
      </c>
      <c r="G37" s="34">
        <v>87.139001834536714</v>
      </c>
      <c r="H37" s="34">
        <v>80.567264866113064</v>
      </c>
      <c r="I37" s="35">
        <v>64.215873143293777</v>
      </c>
      <c r="J37" s="25"/>
      <c r="K37" s="24"/>
      <c r="L37" s="25"/>
      <c r="M37" s="103" t="s">
        <v>29</v>
      </c>
      <c r="N37" s="74" t="s">
        <v>13</v>
      </c>
      <c r="O37" s="33">
        <v>3.8883797629366761</v>
      </c>
      <c r="P37" s="34">
        <v>3.711237756718714</v>
      </c>
      <c r="Q37" s="34">
        <v>3.4352213659038129</v>
      </c>
      <c r="R37" s="34">
        <v>4.1585281294062861</v>
      </c>
      <c r="S37" s="34">
        <v>4.6717463716671022</v>
      </c>
      <c r="T37" s="34">
        <v>6.9489825587638796</v>
      </c>
      <c r="U37" s="35">
        <v>9.4679343618079876</v>
      </c>
      <c r="V37" s="1"/>
    </row>
    <row r="38" spans="1:22" ht="15" thickBot="1" x14ac:dyDescent="0.25">
      <c r="A38" s="104"/>
      <c r="B38" s="65" t="s">
        <v>14</v>
      </c>
      <c r="C38" s="26">
        <v>92.578767643112272</v>
      </c>
      <c r="D38" s="26">
        <v>90.805682970500385</v>
      </c>
      <c r="E38" s="26">
        <v>89.579653001499864</v>
      </c>
      <c r="F38" s="26">
        <v>87.339441882301443</v>
      </c>
      <c r="G38" s="26">
        <v>83.066901517151223</v>
      </c>
      <c r="H38" s="26">
        <v>71.204247790888218</v>
      </c>
      <c r="I38" s="27">
        <v>57.61323691732516</v>
      </c>
      <c r="J38" s="25"/>
      <c r="K38" s="24"/>
      <c r="L38" s="25"/>
      <c r="M38" s="104"/>
      <c r="N38" s="65" t="s">
        <v>14</v>
      </c>
      <c r="O38" s="36">
        <v>3.7226719428771933</v>
      </c>
      <c r="P38" s="26">
        <v>4.4500612276713989</v>
      </c>
      <c r="Q38" s="26">
        <v>5.1740468516560956</v>
      </c>
      <c r="R38" s="26">
        <v>5.4342914409914789</v>
      </c>
      <c r="S38" s="26">
        <v>6.609985573128915</v>
      </c>
      <c r="T38" s="26">
        <v>7.9502861347038616</v>
      </c>
      <c r="U38" s="27">
        <v>9.4696915981026173</v>
      </c>
      <c r="V38" s="1"/>
    </row>
    <row r="39" spans="1:22" ht="15" thickBot="1" x14ac:dyDescent="0.25">
      <c r="A39" s="105"/>
      <c r="B39" s="65" t="s">
        <v>30</v>
      </c>
      <c r="C39" s="2">
        <v>93.087551786046831</v>
      </c>
      <c r="D39" s="2">
        <v>91.991995602428446</v>
      </c>
      <c r="E39" s="2">
        <v>91.57939437523649</v>
      </c>
      <c r="F39" s="2">
        <v>87.576356238237281</v>
      </c>
      <c r="G39" s="2">
        <v>81.49061146610191</v>
      </c>
      <c r="H39" s="2">
        <v>68.494450063636449</v>
      </c>
      <c r="I39" s="2">
        <v>51.858035944528716</v>
      </c>
      <c r="J39" s="25"/>
      <c r="K39" s="24"/>
      <c r="L39" s="25"/>
      <c r="M39" s="105"/>
      <c r="N39" s="65" t="s">
        <v>30</v>
      </c>
      <c r="O39" s="2">
        <v>3.9317570518184741</v>
      </c>
      <c r="P39" s="2">
        <v>4.5007850677742756</v>
      </c>
      <c r="Q39" s="2">
        <v>4.6545643126216154</v>
      </c>
      <c r="R39" s="2">
        <v>5.0320814976420705</v>
      </c>
      <c r="S39" s="2">
        <v>7.1789969096945017</v>
      </c>
      <c r="T39" s="2">
        <v>9.8640027445241607</v>
      </c>
      <c r="U39" s="2">
        <v>11.8755593583428</v>
      </c>
      <c r="V39" s="1"/>
    </row>
    <row r="40" spans="1:22" ht="15" thickBot="1" x14ac:dyDescent="0.25">
      <c r="A40" s="37"/>
      <c r="B40" s="38"/>
      <c r="C40" s="38"/>
      <c r="D40" s="38"/>
      <c r="E40" s="38"/>
      <c r="F40" s="38"/>
      <c r="G40" s="38"/>
      <c r="H40" s="38"/>
      <c r="I40" s="39"/>
      <c r="J40" s="40"/>
      <c r="K40" s="24"/>
      <c r="L40" s="25"/>
      <c r="M40" s="37"/>
      <c r="N40" s="38"/>
      <c r="O40" s="38"/>
      <c r="P40" s="38"/>
      <c r="Q40" s="38"/>
      <c r="R40" s="38"/>
      <c r="S40" s="38"/>
      <c r="T40" s="38"/>
      <c r="U40" s="39"/>
      <c r="V40" s="1"/>
    </row>
    <row r="41" spans="1:22" ht="15" thickBot="1" x14ac:dyDescent="0.25">
      <c r="A41" s="109" t="s">
        <v>11</v>
      </c>
      <c r="B41" s="110"/>
      <c r="C41" s="110"/>
      <c r="D41" s="110"/>
      <c r="E41" s="110"/>
      <c r="F41" s="110"/>
      <c r="G41" s="110"/>
      <c r="H41" s="110"/>
      <c r="I41" s="111"/>
      <c r="J41" s="24"/>
      <c r="K41" s="24"/>
      <c r="L41" s="25"/>
      <c r="M41" s="109" t="s">
        <v>11</v>
      </c>
      <c r="N41" s="110"/>
      <c r="O41" s="110"/>
      <c r="P41" s="110"/>
      <c r="Q41" s="110"/>
      <c r="R41" s="110"/>
      <c r="S41" s="110"/>
      <c r="T41" s="110"/>
      <c r="U41" s="111"/>
      <c r="V41" s="1"/>
    </row>
    <row r="42" spans="1:22" x14ac:dyDescent="0.2">
      <c r="A42" s="94" t="s">
        <v>0</v>
      </c>
      <c r="B42" s="70" t="s">
        <v>1</v>
      </c>
      <c r="C42" s="33">
        <v>92.820738792005557</v>
      </c>
      <c r="D42" s="34">
        <v>91.960076103634933</v>
      </c>
      <c r="E42" s="34">
        <v>90.623611228667414</v>
      </c>
      <c r="F42" s="34">
        <v>87.147401908523506</v>
      </c>
      <c r="G42" s="34">
        <v>80.684883446065982</v>
      </c>
      <c r="H42" s="34">
        <v>60.433547736945336</v>
      </c>
      <c r="I42" s="35">
        <v>47.513519633648883</v>
      </c>
      <c r="J42" s="25"/>
      <c r="K42" s="24"/>
      <c r="L42" s="25"/>
      <c r="M42" s="94" t="s">
        <v>0</v>
      </c>
      <c r="N42" s="70" t="s">
        <v>1</v>
      </c>
      <c r="O42" s="33">
        <v>3.9832785287226642</v>
      </c>
      <c r="P42" s="34">
        <v>4.384481875563857</v>
      </c>
      <c r="Q42" s="34">
        <v>4.3933682019589702</v>
      </c>
      <c r="R42" s="34">
        <v>5.7258360206959802</v>
      </c>
      <c r="S42" s="34">
        <v>7.9571441032328494</v>
      </c>
      <c r="T42" s="34">
        <v>11.156546553337531</v>
      </c>
      <c r="U42" s="35">
        <v>9.8131707087901248</v>
      </c>
      <c r="V42" s="1"/>
    </row>
    <row r="43" spans="1:22" x14ac:dyDescent="0.2">
      <c r="A43" s="95"/>
      <c r="B43" s="71" t="s">
        <v>2</v>
      </c>
      <c r="C43" s="41">
        <v>92.843284190023084</v>
      </c>
      <c r="D43" s="25">
        <v>91.856981164968985</v>
      </c>
      <c r="E43" s="25">
        <v>90.615255157299202</v>
      </c>
      <c r="F43" s="25">
        <v>87.929534075502005</v>
      </c>
      <c r="G43" s="25">
        <v>80.29266389685057</v>
      </c>
      <c r="H43" s="25">
        <v>61.564100332848938</v>
      </c>
      <c r="I43" s="28">
        <v>44.246012410890316</v>
      </c>
      <c r="J43" s="25"/>
      <c r="K43" s="24"/>
      <c r="L43" s="25"/>
      <c r="M43" s="95"/>
      <c r="N43" s="71" t="s">
        <v>2</v>
      </c>
      <c r="O43" s="41">
        <v>4.2026089477592938</v>
      </c>
      <c r="P43" s="25">
        <v>4.7417739073745873</v>
      </c>
      <c r="Q43" s="25">
        <v>4.6885884019912742</v>
      </c>
      <c r="R43" s="25">
        <v>5.8474095435593307</v>
      </c>
      <c r="S43" s="25">
        <v>8.5718488634529457</v>
      </c>
      <c r="T43" s="25">
        <v>10.618665895845737</v>
      </c>
      <c r="U43" s="28">
        <v>9.9175631887140572</v>
      </c>
      <c r="V43" s="1"/>
    </row>
    <row r="44" spans="1:22" x14ac:dyDescent="0.2">
      <c r="A44" s="95"/>
      <c r="B44" s="71" t="s">
        <v>3</v>
      </c>
      <c r="C44" s="41">
        <v>92.887247493957162</v>
      </c>
      <c r="D44" s="25">
        <v>92.526360568571377</v>
      </c>
      <c r="E44" s="25">
        <v>92.335985990442964</v>
      </c>
      <c r="F44" s="25">
        <v>91.21192788290432</v>
      </c>
      <c r="G44" s="25">
        <v>84.049989944177668</v>
      </c>
      <c r="H44" s="25">
        <v>57.414776662034065</v>
      </c>
      <c r="I44" s="28">
        <v>42.573458490480562</v>
      </c>
      <c r="J44" s="25"/>
      <c r="K44" s="24"/>
      <c r="L44" s="25"/>
      <c r="M44" s="95"/>
      <c r="N44" s="71" t="s">
        <v>3</v>
      </c>
      <c r="O44" s="41">
        <v>4.0514903154179436</v>
      </c>
      <c r="P44" s="25">
        <v>3.9219831925012953</v>
      </c>
      <c r="Q44" s="25">
        <v>4.2608980592918222</v>
      </c>
      <c r="R44" s="25">
        <v>4.507750995529622</v>
      </c>
      <c r="S44" s="25">
        <v>6.950345110192127</v>
      </c>
      <c r="T44" s="25">
        <v>10.916767692216204</v>
      </c>
      <c r="U44" s="28">
        <v>8.7851414024966488</v>
      </c>
      <c r="V44" s="1"/>
    </row>
    <row r="45" spans="1:22" x14ac:dyDescent="0.2">
      <c r="A45" s="95"/>
      <c r="B45" s="71" t="s">
        <v>4</v>
      </c>
      <c r="C45" s="41">
        <v>92.843190256650004</v>
      </c>
      <c r="D45" s="25">
        <v>92.587016305792119</v>
      </c>
      <c r="E45" s="25">
        <v>92.099608766333958</v>
      </c>
      <c r="F45" s="25">
        <v>90.524299230603347</v>
      </c>
      <c r="G45" s="25">
        <v>83.646426779948698</v>
      </c>
      <c r="H45" s="25">
        <v>60.416105838288168</v>
      </c>
      <c r="I45" s="28">
        <v>43.187380938017625</v>
      </c>
      <c r="J45" s="25"/>
      <c r="K45" s="24"/>
      <c r="L45" s="25"/>
      <c r="M45" s="95"/>
      <c r="N45" s="71" t="s">
        <v>4</v>
      </c>
      <c r="O45" s="41">
        <v>3.6611286672079411</v>
      </c>
      <c r="P45" s="25">
        <v>3.8332247685167258</v>
      </c>
      <c r="Q45" s="25">
        <v>4.0987820655435705</v>
      </c>
      <c r="R45" s="25">
        <v>4.7008877850217017</v>
      </c>
      <c r="S45" s="25">
        <v>7.5205052811091608</v>
      </c>
      <c r="T45" s="25">
        <v>10.841519627091911</v>
      </c>
      <c r="U45" s="28">
        <v>7.8755871698222206</v>
      </c>
      <c r="V45" s="1"/>
    </row>
    <row r="46" spans="1:22" x14ac:dyDescent="0.2">
      <c r="A46" s="95"/>
      <c r="B46" s="71" t="s">
        <v>5</v>
      </c>
      <c r="C46" s="41">
        <v>93.155419737732046</v>
      </c>
      <c r="D46" s="25">
        <v>92.891252101569421</v>
      </c>
      <c r="E46" s="25">
        <v>92.354820431535103</v>
      </c>
      <c r="F46" s="25">
        <v>89.262237664911709</v>
      </c>
      <c r="G46" s="25">
        <v>83.817415142302622</v>
      </c>
      <c r="H46" s="25">
        <v>62.583030132951436</v>
      </c>
      <c r="I46" s="28">
        <v>45.947582471767348</v>
      </c>
      <c r="J46" s="25"/>
      <c r="K46" s="24"/>
      <c r="L46" s="25"/>
      <c r="M46" s="95"/>
      <c r="N46" s="71" t="s">
        <v>5</v>
      </c>
      <c r="O46" s="41">
        <v>3.8707101747526216</v>
      </c>
      <c r="P46" s="25">
        <v>4.3079284051136435</v>
      </c>
      <c r="Q46" s="25">
        <v>4.4205356766114763</v>
      </c>
      <c r="R46" s="25">
        <v>5.3097950223237715</v>
      </c>
      <c r="S46" s="25">
        <v>6.7759657284130972</v>
      </c>
      <c r="T46" s="25">
        <v>11.798403704025185</v>
      </c>
      <c r="U46" s="28">
        <v>11.537198624213495</v>
      </c>
      <c r="V46" s="1"/>
    </row>
    <row r="47" spans="1:22" x14ac:dyDescent="0.2">
      <c r="A47" s="95"/>
      <c r="B47" s="71" t="s">
        <v>6</v>
      </c>
      <c r="C47" s="41">
        <v>92.821279056315362</v>
      </c>
      <c r="D47" s="25">
        <v>92.733480621303571</v>
      </c>
      <c r="E47" s="25">
        <v>92.203500219400965</v>
      </c>
      <c r="F47" s="25">
        <v>91.071302925601856</v>
      </c>
      <c r="G47" s="25">
        <v>85.612815475594061</v>
      </c>
      <c r="H47" s="25">
        <v>58.992680230672832</v>
      </c>
      <c r="I47" s="28">
        <v>41.120411442431482</v>
      </c>
      <c r="J47" s="25"/>
      <c r="K47" s="24"/>
      <c r="L47" s="25"/>
      <c r="M47" s="95"/>
      <c r="N47" s="71" t="s">
        <v>6</v>
      </c>
      <c r="O47" s="41">
        <v>3.654167143417371</v>
      </c>
      <c r="P47" s="25">
        <v>3.872585567952481</v>
      </c>
      <c r="Q47" s="25">
        <v>4.0466276106990549</v>
      </c>
      <c r="R47" s="25">
        <v>4.8526676778723434</v>
      </c>
      <c r="S47" s="25">
        <v>6.1913517121362496</v>
      </c>
      <c r="T47" s="25">
        <v>10.091912686159521</v>
      </c>
      <c r="U47" s="28">
        <v>8.6002766636911474</v>
      </c>
      <c r="V47" s="1"/>
    </row>
    <row r="48" spans="1:22" ht="15" thickBot="1" x14ac:dyDescent="0.25">
      <c r="A48" s="96"/>
      <c r="B48" s="66" t="s">
        <v>7</v>
      </c>
      <c r="C48" s="42">
        <v>93.243833233650619</v>
      </c>
      <c r="D48" s="43">
        <v>92.244152662300351</v>
      </c>
      <c r="E48" s="43">
        <v>91.779399224683033</v>
      </c>
      <c r="F48" s="43">
        <v>88.942376530063612</v>
      </c>
      <c r="G48" s="43">
        <v>84.074415427072154</v>
      </c>
      <c r="H48" s="43">
        <v>63.593677785045287</v>
      </c>
      <c r="I48" s="44">
        <v>48.08806242697684</v>
      </c>
      <c r="J48" s="25"/>
      <c r="K48" s="24"/>
      <c r="L48" s="25"/>
      <c r="M48" s="96"/>
      <c r="N48" s="66" t="s">
        <v>7</v>
      </c>
      <c r="O48" s="42">
        <v>3.8779021026816878</v>
      </c>
      <c r="P48" s="43">
        <v>5.459933038676585</v>
      </c>
      <c r="Q48" s="43">
        <v>4.314698164495594</v>
      </c>
      <c r="R48" s="43">
        <v>5.2914242658912007</v>
      </c>
      <c r="S48" s="43">
        <v>7.0686449776166889</v>
      </c>
      <c r="T48" s="43">
        <v>12.320009696250258</v>
      </c>
      <c r="U48" s="44">
        <v>10.2959016132948</v>
      </c>
      <c r="V48" s="1"/>
    </row>
    <row r="49" spans="1:22" ht="15" thickBot="1" x14ac:dyDescent="0.25">
      <c r="A49" s="36"/>
      <c r="B49" s="26"/>
      <c r="C49" s="26"/>
      <c r="D49" s="26"/>
      <c r="E49" s="26"/>
      <c r="F49" s="26"/>
      <c r="G49" s="26"/>
      <c r="H49" s="26"/>
      <c r="I49" s="27"/>
      <c r="J49" s="25"/>
      <c r="K49" s="25"/>
      <c r="L49" s="25"/>
      <c r="M49" s="36"/>
      <c r="N49" s="26"/>
      <c r="O49" s="26"/>
      <c r="P49" s="26"/>
      <c r="Q49" s="26"/>
      <c r="R49" s="26"/>
      <c r="S49" s="26"/>
      <c r="T49" s="26"/>
      <c r="U49" s="27"/>
    </row>
    <row r="50" spans="1:22" ht="14.25" customHeight="1" thickBot="1" x14ac:dyDescent="0.25">
      <c r="A50" s="83" t="s">
        <v>9</v>
      </c>
      <c r="B50" s="84"/>
      <c r="C50" s="84"/>
      <c r="D50" s="84"/>
      <c r="E50" s="84"/>
      <c r="F50" s="84"/>
      <c r="G50" s="84"/>
      <c r="H50" s="84"/>
      <c r="I50" s="112"/>
      <c r="J50" s="24"/>
      <c r="K50" s="24"/>
      <c r="L50" s="25"/>
      <c r="M50" s="83" t="s">
        <v>9</v>
      </c>
      <c r="N50" s="84"/>
      <c r="O50" s="84"/>
      <c r="P50" s="84"/>
      <c r="Q50" s="84"/>
      <c r="R50" s="84"/>
      <c r="S50" s="84"/>
      <c r="T50" s="84"/>
      <c r="U50" s="112"/>
      <c r="V50" s="1"/>
    </row>
    <row r="51" spans="1:22" ht="14.25" customHeight="1" x14ac:dyDescent="0.2">
      <c r="A51" s="94" t="s">
        <v>0</v>
      </c>
      <c r="B51" s="70" t="s">
        <v>1</v>
      </c>
      <c r="C51" s="33">
        <v>92.247186116496749</v>
      </c>
      <c r="D51" s="34">
        <v>91.597884605320203</v>
      </c>
      <c r="E51" s="34">
        <v>91.511680603905845</v>
      </c>
      <c r="F51" s="34">
        <v>89.06343871798687</v>
      </c>
      <c r="G51" s="34">
        <v>81.057166591460046</v>
      </c>
      <c r="H51" s="34">
        <v>62.491303085185713</v>
      </c>
      <c r="I51" s="35">
        <v>45.016086288904575</v>
      </c>
      <c r="J51" s="25"/>
      <c r="K51" s="24"/>
      <c r="L51" s="25"/>
      <c r="M51" s="94" t="s">
        <v>0</v>
      </c>
      <c r="N51" s="70" t="s">
        <v>1</v>
      </c>
      <c r="O51" s="33">
        <v>3.9865771746241632</v>
      </c>
      <c r="P51" s="34">
        <v>4.5536660342110613</v>
      </c>
      <c r="Q51" s="34">
        <v>4.2864648182838208</v>
      </c>
      <c r="R51" s="34">
        <v>4.8749175943812801</v>
      </c>
      <c r="S51" s="34">
        <v>6.6195690033276033</v>
      </c>
      <c r="T51" s="34">
        <v>9.9975260632023684</v>
      </c>
      <c r="U51" s="35">
        <v>8.9088892578240788</v>
      </c>
      <c r="V51" s="1"/>
    </row>
    <row r="52" spans="1:22" ht="14.25" customHeight="1" x14ac:dyDescent="0.2">
      <c r="A52" s="95"/>
      <c r="B52" s="71" t="s">
        <v>2</v>
      </c>
      <c r="C52" s="41">
        <v>92.563160936089858</v>
      </c>
      <c r="D52" s="25">
        <v>91.671343853121428</v>
      </c>
      <c r="E52" s="25">
        <v>90.948470471508386</v>
      </c>
      <c r="F52" s="25">
        <v>87.250446788778675</v>
      </c>
      <c r="G52" s="25">
        <v>80.245135880766256</v>
      </c>
      <c r="H52" s="25">
        <v>67.618957114876295</v>
      </c>
      <c r="I52" s="28">
        <v>48.661256270952556</v>
      </c>
      <c r="J52" s="25"/>
      <c r="K52" s="24"/>
      <c r="L52" s="25"/>
      <c r="M52" s="95"/>
      <c r="N52" s="71" t="s">
        <v>2</v>
      </c>
      <c r="O52" s="41">
        <v>4.1570380941436529</v>
      </c>
      <c r="P52" s="25">
        <v>4.4322456207651824</v>
      </c>
      <c r="Q52" s="25">
        <v>4.2573142592404345</v>
      </c>
      <c r="R52" s="25">
        <v>4.9623460503589669</v>
      </c>
      <c r="S52" s="25">
        <v>6.4761990460733738</v>
      </c>
      <c r="T52" s="25">
        <v>8.2894024682649388</v>
      </c>
      <c r="U52" s="28">
        <v>10.578972903017011</v>
      </c>
      <c r="V52" s="1"/>
    </row>
    <row r="53" spans="1:22" ht="14.25" customHeight="1" x14ac:dyDescent="0.2">
      <c r="A53" s="95"/>
      <c r="B53" s="71" t="s">
        <v>3</v>
      </c>
      <c r="C53" s="41">
        <v>92.54556139569759</v>
      </c>
      <c r="D53" s="25">
        <v>92.097749123542997</v>
      </c>
      <c r="E53" s="25">
        <v>91.149446409986609</v>
      </c>
      <c r="F53" s="25">
        <v>90.378692861325263</v>
      </c>
      <c r="G53" s="25">
        <v>86.31037090347165</v>
      </c>
      <c r="H53" s="25">
        <v>69.052071672901974</v>
      </c>
      <c r="I53" s="28">
        <v>52.183039312657961</v>
      </c>
      <c r="J53" s="25"/>
      <c r="K53" s="24"/>
      <c r="L53" s="25"/>
      <c r="M53" s="95"/>
      <c r="N53" s="71" t="s">
        <v>3</v>
      </c>
      <c r="O53" s="41">
        <v>3.8704157166302662</v>
      </c>
      <c r="P53" s="25">
        <v>4.0030091744950544</v>
      </c>
      <c r="Q53" s="25">
        <v>4.4384106113763231</v>
      </c>
      <c r="R53" s="25">
        <v>3.896528380448768</v>
      </c>
      <c r="S53" s="25">
        <v>5.8710282292811753</v>
      </c>
      <c r="T53" s="25">
        <v>8.8278448465735444</v>
      </c>
      <c r="U53" s="28">
        <v>8.7581295305693558</v>
      </c>
      <c r="V53" s="1"/>
    </row>
    <row r="54" spans="1:22" ht="14.25" customHeight="1" x14ac:dyDescent="0.2">
      <c r="A54" s="95"/>
      <c r="B54" s="71" t="s">
        <v>4</v>
      </c>
      <c r="C54" s="41">
        <v>91.108963215218992</v>
      </c>
      <c r="D54" s="25">
        <v>91.422451190382446</v>
      </c>
      <c r="E54" s="25">
        <v>91.028164807377692</v>
      </c>
      <c r="F54" s="25">
        <v>90.92155498404928</v>
      </c>
      <c r="G54" s="25">
        <v>88.366911725212944</v>
      </c>
      <c r="H54" s="25">
        <v>69.467496738004868</v>
      </c>
      <c r="I54" s="28">
        <v>55.017151338023098</v>
      </c>
      <c r="J54" s="25"/>
      <c r="K54" s="24"/>
      <c r="L54" s="25"/>
      <c r="M54" s="95"/>
      <c r="N54" s="71" t="s">
        <v>4</v>
      </c>
      <c r="O54" s="41">
        <v>4.5721711205283091</v>
      </c>
      <c r="P54" s="25">
        <v>4.2450282469621561</v>
      </c>
      <c r="Q54" s="25">
        <v>4.9010444377823665</v>
      </c>
      <c r="R54" s="25">
        <v>4.7536885250114933</v>
      </c>
      <c r="S54" s="25">
        <v>5.7319162671252464</v>
      </c>
      <c r="T54" s="25">
        <v>8.5643761177203679</v>
      </c>
      <c r="U54" s="28">
        <v>13.3397749958867</v>
      </c>
      <c r="V54" s="1"/>
    </row>
    <row r="55" spans="1:22" ht="14.25" customHeight="1" x14ac:dyDescent="0.2">
      <c r="A55" s="95"/>
      <c r="B55" s="71" t="s">
        <v>5</v>
      </c>
      <c r="C55" s="41">
        <v>91.985002113747967</v>
      </c>
      <c r="D55" s="25">
        <v>91.844115733099713</v>
      </c>
      <c r="E55" s="25">
        <v>90.74276089064449</v>
      </c>
      <c r="F55" s="25">
        <v>86.637468540622294</v>
      </c>
      <c r="G55" s="25">
        <v>80.087169822335198</v>
      </c>
      <c r="H55" s="25">
        <v>67.923665484357144</v>
      </c>
      <c r="I55" s="28">
        <v>50.478936197751509</v>
      </c>
      <c r="J55" s="25"/>
      <c r="K55" s="24"/>
      <c r="L55" s="25"/>
      <c r="M55" s="95"/>
      <c r="N55" s="71" t="s">
        <v>5</v>
      </c>
      <c r="O55" s="41">
        <v>4.584242690959452</v>
      </c>
      <c r="P55" s="25">
        <v>4.2746031503783293</v>
      </c>
      <c r="Q55" s="25">
        <v>4.5095381636640219</v>
      </c>
      <c r="R55" s="25">
        <v>5.3683537882268819</v>
      </c>
      <c r="S55" s="25">
        <v>5.8185190400296554</v>
      </c>
      <c r="T55" s="25">
        <v>8.023787622820107</v>
      </c>
      <c r="U55" s="28">
        <v>9.5152827629812951</v>
      </c>
      <c r="V55" s="1"/>
    </row>
    <row r="56" spans="1:22" ht="14.25" customHeight="1" x14ac:dyDescent="0.2">
      <c r="A56" s="95"/>
      <c r="B56" s="71" t="s">
        <v>6</v>
      </c>
      <c r="C56" s="41">
        <v>92.468180366104363</v>
      </c>
      <c r="D56" s="25">
        <v>92.104677053061693</v>
      </c>
      <c r="E56" s="25">
        <v>91.973737069414582</v>
      </c>
      <c r="F56" s="25">
        <v>90.231180372644104</v>
      </c>
      <c r="G56" s="25">
        <v>85.680389069387402</v>
      </c>
      <c r="H56" s="25">
        <v>69.611797784660126</v>
      </c>
      <c r="I56" s="28">
        <v>51.75655561645415</v>
      </c>
      <c r="J56" s="25"/>
      <c r="K56" s="24"/>
      <c r="L56" s="25"/>
      <c r="M56" s="95"/>
      <c r="N56" s="71" t="s">
        <v>6</v>
      </c>
      <c r="O56" s="41">
        <v>3.9609796946315146</v>
      </c>
      <c r="P56" s="25">
        <v>4.0190161872002168</v>
      </c>
      <c r="Q56" s="25">
        <v>3.83425635153686</v>
      </c>
      <c r="R56" s="25">
        <v>4.2952439764306201</v>
      </c>
      <c r="S56" s="25">
        <v>6.136495380553578</v>
      </c>
      <c r="T56" s="25">
        <v>8.317066252642471</v>
      </c>
      <c r="U56" s="28">
        <v>8.3992244772803879</v>
      </c>
      <c r="V56" s="1"/>
    </row>
    <row r="57" spans="1:22" ht="14.25" customHeight="1" thickBot="1" x14ac:dyDescent="0.25">
      <c r="A57" s="96"/>
      <c r="B57" s="66" t="s">
        <v>7</v>
      </c>
      <c r="C57" s="42">
        <v>92.006101323789679</v>
      </c>
      <c r="D57" s="43">
        <v>92.057603652163365</v>
      </c>
      <c r="E57" s="43">
        <v>92.049664666397604</v>
      </c>
      <c r="F57" s="43">
        <v>89.263858115450276</v>
      </c>
      <c r="G57" s="43">
        <v>83.628927365360866</v>
      </c>
      <c r="H57" s="43">
        <v>68.726628807646634</v>
      </c>
      <c r="I57" s="44">
        <v>52.239671459303928</v>
      </c>
      <c r="J57" s="25"/>
      <c r="K57" s="24"/>
      <c r="L57" s="25"/>
      <c r="M57" s="96"/>
      <c r="N57" s="66" t="s">
        <v>7</v>
      </c>
      <c r="O57" s="42">
        <v>4.2420719970357412</v>
      </c>
      <c r="P57" s="43">
        <v>3.8504360503285158</v>
      </c>
      <c r="Q57" s="43">
        <v>3.9845265645291157</v>
      </c>
      <c r="R57" s="43">
        <v>4.1886516625012451</v>
      </c>
      <c r="S57" s="43">
        <v>5.801232311545804</v>
      </c>
      <c r="T57" s="43">
        <v>8.6400942521937498</v>
      </c>
      <c r="U57" s="44">
        <v>8.5732627645881596</v>
      </c>
      <c r="V57" s="1"/>
    </row>
  </sheetData>
  <mergeCells count="36">
    <mergeCell ref="A2:B2"/>
    <mergeCell ref="M2:N2"/>
    <mergeCell ref="A12:I12"/>
    <mergeCell ref="M12:U12"/>
    <mergeCell ref="A13:A19"/>
    <mergeCell ref="A4:B4"/>
    <mergeCell ref="A3:B3"/>
    <mergeCell ref="M8:M10"/>
    <mergeCell ref="A5:A7"/>
    <mergeCell ref="M5:M7"/>
    <mergeCell ref="A8:A10"/>
    <mergeCell ref="M3:N3"/>
    <mergeCell ref="M4:N4"/>
    <mergeCell ref="M13:M19"/>
    <mergeCell ref="A51:A57"/>
    <mergeCell ref="M51:M57"/>
    <mergeCell ref="A41:I41"/>
    <mergeCell ref="M41:U41"/>
    <mergeCell ref="A42:A48"/>
    <mergeCell ref="A50:I50"/>
    <mergeCell ref="M50:U50"/>
    <mergeCell ref="M42:M48"/>
    <mergeCell ref="A32:B32"/>
    <mergeCell ref="M32:N32"/>
    <mergeCell ref="M21:U21"/>
    <mergeCell ref="A22:A28"/>
    <mergeCell ref="A31:B31"/>
    <mergeCell ref="M31:N31"/>
    <mergeCell ref="A21:I21"/>
    <mergeCell ref="M22:M28"/>
    <mergeCell ref="M33:N33"/>
    <mergeCell ref="A34:A36"/>
    <mergeCell ref="M34:M36"/>
    <mergeCell ref="A37:A39"/>
    <mergeCell ref="M37:M39"/>
    <mergeCell ref="A33:B33"/>
  </mergeCells>
  <phoneticPr fontId="1" type="noConversion"/>
  <conditionalFormatting sqref="A3:A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3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7 A3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5:B5 A4 A8:B8 B6:B7 B9:B10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5 A8:B8 B6:B7 B9:B10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B32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I28 C2:I10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B3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5:J28 I3:I4">
    <cfRule type="colorScale" priority="2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11:J28 C5:J10 I3:I4">
    <cfRule type="colorScale" priority="3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10 C13:I19 C22:I2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20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I28 C2:I2 J11:J28 C5:J10 I3:I4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2:I28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8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1:J14 C5:J10 J16:J19 J21:J24 J26:J28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8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N2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N5 N6:N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8:N8 N9:N1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3:N1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:N32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4:N3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7:N3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pcc_separate_nodes</vt:lpstr>
      <vt:lpstr>pcc_separate_nodes_B</vt:lpstr>
      <vt:lpstr>pcc_separate_nodes_A</vt:lpstr>
      <vt:lpstr>pcc_fulldata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2026-07-12T14:22:23Z</dcterms:modified>
</cp:coreProperties>
</file>