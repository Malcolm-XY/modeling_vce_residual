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abandoned_repo_\results_cnn_subnetwork_evaluation\PCC_subnetwork_separate_node_index\"/>
    </mc:Choice>
  </mc:AlternateContent>
  <xr:revisionPtr revIDLastSave="0" documentId="13_ncr:1_{49A14E3E-EDF6-48AF-9E4E-E9729127E3B4}" xr6:coauthVersionLast="47" xr6:coauthVersionMax="47" xr10:uidLastSave="{00000000-0000-0000-0000-000000000000}"/>
  <bookViews>
    <workbookView xWindow="28680" yWindow="-21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9" i="1"/>
  <c r="K20" i="1"/>
  <c r="M46" i="2"/>
  <c r="N46" i="2"/>
  <c r="O46" i="2"/>
  <c r="P46" i="2"/>
  <c r="Q46" i="2"/>
  <c r="L46" i="2"/>
  <c r="M30" i="2"/>
  <c r="N30" i="2"/>
  <c r="O30" i="2"/>
  <c r="P30" i="2"/>
  <c r="Q30" i="2"/>
  <c r="L30" i="2"/>
  <c r="L65" i="2"/>
  <c r="M65" i="2"/>
  <c r="N65" i="2"/>
  <c r="O65" i="2"/>
  <c r="P65" i="2"/>
  <c r="Q65" i="2"/>
  <c r="L66" i="2"/>
  <c r="M66" i="2"/>
  <c r="N66" i="2"/>
  <c r="O66" i="2"/>
  <c r="P66" i="2"/>
  <c r="Q66" i="2"/>
  <c r="L67" i="2"/>
  <c r="M67" i="2"/>
  <c r="N67" i="2"/>
  <c r="O67" i="2"/>
  <c r="P67" i="2"/>
  <c r="Q67" i="2"/>
  <c r="L68" i="2"/>
  <c r="M68" i="2"/>
  <c r="N68" i="2"/>
  <c r="O68" i="2"/>
  <c r="P68" i="2"/>
  <c r="Q68" i="2"/>
  <c r="L69" i="2"/>
  <c r="M69" i="2"/>
  <c r="N69" i="2"/>
  <c r="O69" i="2"/>
  <c r="P69" i="2"/>
  <c r="Q69" i="2"/>
  <c r="L70" i="2"/>
  <c r="M70" i="2"/>
  <c r="N70" i="2"/>
  <c r="O70" i="2"/>
  <c r="P70" i="2"/>
  <c r="Q70" i="2"/>
  <c r="L71" i="2"/>
  <c r="M71" i="2"/>
  <c r="N71" i="2"/>
  <c r="O71" i="2"/>
  <c r="P71" i="2"/>
  <c r="Q71" i="2"/>
  <c r="L72" i="2"/>
  <c r="M72" i="2"/>
  <c r="N72" i="2"/>
  <c r="O72" i="2"/>
  <c r="P72" i="2"/>
  <c r="Q72" i="2"/>
  <c r="L73" i="2"/>
  <c r="M73" i="2"/>
  <c r="N73" i="2"/>
  <c r="O73" i="2"/>
  <c r="P73" i="2"/>
  <c r="Q73" i="2"/>
  <c r="L74" i="2"/>
  <c r="M74" i="2"/>
  <c r="N74" i="2"/>
  <c r="O74" i="2"/>
  <c r="P74" i="2"/>
  <c r="Q74" i="2"/>
  <c r="M64" i="2"/>
  <c r="N64" i="2"/>
  <c r="O64" i="2"/>
  <c r="P64" i="2"/>
  <c r="Q64" i="2"/>
  <c r="L64" i="2"/>
  <c r="M49" i="2"/>
  <c r="N49" i="2"/>
  <c r="O49" i="2"/>
  <c r="P49" i="2"/>
  <c r="Q49" i="2"/>
  <c r="M50" i="2"/>
  <c r="N50" i="2"/>
  <c r="O50" i="2"/>
  <c r="P50" i="2"/>
  <c r="Q50" i="2"/>
  <c r="M51" i="2"/>
  <c r="N51" i="2"/>
  <c r="O51" i="2"/>
  <c r="P51" i="2"/>
  <c r="Q51" i="2"/>
  <c r="M52" i="2"/>
  <c r="N52" i="2"/>
  <c r="O52" i="2"/>
  <c r="P52" i="2"/>
  <c r="Q52" i="2"/>
  <c r="M53" i="2"/>
  <c r="N53" i="2"/>
  <c r="O53" i="2"/>
  <c r="P53" i="2"/>
  <c r="Q53" i="2"/>
  <c r="M54" i="2"/>
  <c r="N54" i="2"/>
  <c r="O54" i="2"/>
  <c r="P54" i="2"/>
  <c r="Q54" i="2"/>
  <c r="M55" i="2"/>
  <c r="N55" i="2"/>
  <c r="O55" i="2"/>
  <c r="P55" i="2"/>
  <c r="Q55" i="2"/>
  <c r="M56" i="2"/>
  <c r="N56" i="2"/>
  <c r="O56" i="2"/>
  <c r="P56" i="2"/>
  <c r="Q56" i="2"/>
  <c r="M57" i="2"/>
  <c r="N57" i="2"/>
  <c r="O57" i="2"/>
  <c r="P57" i="2"/>
  <c r="Q57" i="2"/>
  <c r="M58" i="2"/>
  <c r="N58" i="2"/>
  <c r="O58" i="2"/>
  <c r="P58" i="2"/>
  <c r="Q58" i="2"/>
  <c r="M59" i="2"/>
  <c r="N59" i="2"/>
  <c r="O59" i="2"/>
  <c r="P59" i="2"/>
  <c r="Q59" i="2"/>
  <c r="L50" i="2"/>
  <c r="L51" i="2"/>
  <c r="L52" i="2"/>
  <c r="L53" i="2"/>
  <c r="L54" i="2"/>
  <c r="L55" i="2"/>
  <c r="L56" i="2"/>
  <c r="L57" i="2"/>
  <c r="L58" i="2"/>
  <c r="L59" i="2"/>
  <c r="L49" i="2"/>
  <c r="L34" i="2"/>
  <c r="M34" i="2"/>
  <c r="N34" i="2"/>
  <c r="O34" i="2"/>
  <c r="P34" i="2"/>
  <c r="Q34" i="2"/>
  <c r="L35" i="2"/>
  <c r="M35" i="2"/>
  <c r="N35" i="2"/>
  <c r="O35" i="2"/>
  <c r="P35" i="2"/>
  <c r="Q35" i="2"/>
  <c r="L36" i="2"/>
  <c r="M36" i="2"/>
  <c r="N36" i="2"/>
  <c r="O36" i="2"/>
  <c r="P36" i="2"/>
  <c r="Q36" i="2"/>
  <c r="L37" i="2"/>
  <c r="M37" i="2"/>
  <c r="N37" i="2"/>
  <c r="O37" i="2"/>
  <c r="P37" i="2"/>
  <c r="Q37" i="2"/>
  <c r="L38" i="2"/>
  <c r="M38" i="2"/>
  <c r="N38" i="2"/>
  <c r="O38" i="2"/>
  <c r="P38" i="2"/>
  <c r="Q38" i="2"/>
  <c r="L39" i="2"/>
  <c r="M39" i="2"/>
  <c r="N39" i="2"/>
  <c r="O39" i="2"/>
  <c r="P39" i="2"/>
  <c r="Q39" i="2"/>
  <c r="L40" i="2"/>
  <c r="M40" i="2"/>
  <c r="N40" i="2"/>
  <c r="O40" i="2"/>
  <c r="P40" i="2"/>
  <c r="Q40" i="2"/>
  <c r="L41" i="2"/>
  <c r="M41" i="2"/>
  <c r="N41" i="2"/>
  <c r="O41" i="2"/>
  <c r="P41" i="2"/>
  <c r="Q41" i="2"/>
  <c r="L42" i="2"/>
  <c r="M42" i="2"/>
  <c r="N42" i="2"/>
  <c r="O42" i="2"/>
  <c r="P42" i="2"/>
  <c r="Q42" i="2"/>
  <c r="L43" i="2"/>
  <c r="M43" i="2"/>
  <c r="N43" i="2"/>
  <c r="O43" i="2"/>
  <c r="P43" i="2"/>
  <c r="Q43" i="2"/>
  <c r="M33" i="2"/>
  <c r="N33" i="2"/>
  <c r="O33" i="2"/>
  <c r="P33" i="2"/>
  <c r="Q33" i="2"/>
  <c r="L33" i="2"/>
  <c r="L18" i="2"/>
  <c r="M18" i="2"/>
  <c r="N18" i="2"/>
  <c r="O18" i="2"/>
  <c r="P18" i="2"/>
  <c r="Q18" i="2"/>
  <c r="L19" i="2"/>
  <c r="M19" i="2"/>
  <c r="N19" i="2"/>
  <c r="O19" i="2"/>
  <c r="P19" i="2"/>
  <c r="Q19" i="2"/>
  <c r="L20" i="2"/>
  <c r="M20" i="2"/>
  <c r="N20" i="2"/>
  <c r="O20" i="2"/>
  <c r="P20" i="2"/>
  <c r="Q20" i="2"/>
  <c r="L21" i="2"/>
  <c r="M21" i="2"/>
  <c r="N21" i="2"/>
  <c r="O21" i="2"/>
  <c r="P21" i="2"/>
  <c r="Q21" i="2"/>
  <c r="L22" i="2"/>
  <c r="M22" i="2"/>
  <c r="N22" i="2"/>
  <c r="O22" i="2"/>
  <c r="P22" i="2"/>
  <c r="Q22" i="2"/>
  <c r="L23" i="2"/>
  <c r="M23" i="2"/>
  <c r="N23" i="2"/>
  <c r="O23" i="2"/>
  <c r="P23" i="2"/>
  <c r="Q23" i="2"/>
  <c r="L24" i="2"/>
  <c r="M24" i="2"/>
  <c r="N24" i="2"/>
  <c r="O24" i="2"/>
  <c r="P24" i="2"/>
  <c r="Q24" i="2"/>
  <c r="L25" i="2"/>
  <c r="M25" i="2"/>
  <c r="N25" i="2"/>
  <c r="O25" i="2"/>
  <c r="P25" i="2"/>
  <c r="Q25" i="2"/>
  <c r="L26" i="2"/>
  <c r="M26" i="2"/>
  <c r="N26" i="2"/>
  <c r="O26" i="2"/>
  <c r="P26" i="2"/>
  <c r="Q26" i="2"/>
  <c r="M17" i="2"/>
  <c r="N17" i="2"/>
  <c r="O17" i="2"/>
  <c r="P17" i="2"/>
  <c r="Q17" i="2"/>
  <c r="L17" i="2"/>
  <c r="H76" i="2"/>
  <c r="G76" i="2"/>
  <c r="F76" i="2"/>
  <c r="E76" i="2"/>
  <c r="D76" i="2"/>
  <c r="C76" i="2"/>
  <c r="H61" i="2"/>
  <c r="G61" i="2"/>
  <c r="F61" i="2"/>
  <c r="E61" i="2"/>
  <c r="D61" i="2"/>
  <c r="C61" i="2"/>
  <c r="H45" i="2"/>
  <c r="G45" i="2"/>
  <c r="F45" i="2"/>
  <c r="E45" i="2"/>
  <c r="D45" i="2"/>
  <c r="C45" i="2"/>
  <c r="H29" i="2"/>
  <c r="G29" i="2"/>
  <c r="F29" i="2"/>
  <c r="E29" i="2"/>
  <c r="D29" i="2"/>
  <c r="C29" i="2"/>
  <c r="H14" i="2"/>
  <c r="G14" i="2"/>
  <c r="F14" i="2"/>
  <c r="E14" i="2"/>
  <c r="D14" i="2"/>
  <c r="C14" i="2"/>
  <c r="D78" i="1"/>
  <c r="H78" i="1"/>
  <c r="G78" i="1"/>
  <c r="C78" i="1"/>
  <c r="F78" i="1"/>
  <c r="E78" i="1"/>
  <c r="F62" i="1"/>
  <c r="E62" i="1"/>
  <c r="D62" i="1"/>
  <c r="C62" i="1"/>
  <c r="H62" i="1"/>
  <c r="K34" i="1"/>
  <c r="K35" i="1"/>
  <c r="K36" i="1"/>
  <c r="K37" i="1"/>
  <c r="K38" i="1"/>
  <c r="K39" i="1"/>
  <c r="K40" i="1"/>
  <c r="C46" i="1"/>
  <c r="F46" i="1"/>
  <c r="E46" i="1"/>
  <c r="D46" i="1"/>
  <c r="K43" i="1"/>
  <c r="K42" i="1"/>
  <c r="K41" i="1"/>
  <c r="K27" i="1"/>
  <c r="K26" i="1"/>
  <c r="K25" i="1"/>
  <c r="K24" i="1"/>
  <c r="K23" i="1"/>
  <c r="K22" i="1"/>
  <c r="K21" i="1"/>
  <c r="H30" i="1"/>
  <c r="G30" i="1"/>
  <c r="F30" i="1"/>
  <c r="E30" i="1"/>
  <c r="D30" i="1"/>
  <c r="C30" i="1"/>
  <c r="K3" i="1"/>
  <c r="K4" i="1"/>
  <c r="K5" i="1"/>
  <c r="K6" i="1"/>
  <c r="K7" i="1"/>
  <c r="K8" i="1"/>
  <c r="K9" i="1"/>
  <c r="K10" i="1"/>
  <c r="K11" i="1"/>
  <c r="K12" i="1"/>
  <c r="K2" i="1"/>
  <c r="F14" i="1"/>
  <c r="E14" i="1"/>
  <c r="D14" i="1"/>
  <c r="H14" i="1"/>
  <c r="G14" i="1"/>
  <c r="C14" i="1"/>
  <c r="O27" i="2" l="1"/>
  <c r="P27" i="2"/>
  <c r="M27" i="2"/>
  <c r="Q27" i="2"/>
  <c r="L27" i="2"/>
  <c r="N27" i="2"/>
  <c r="L61" i="2"/>
  <c r="Q61" i="2"/>
  <c r="N29" i="2"/>
  <c r="M29" i="2"/>
  <c r="O61" i="2"/>
  <c r="Q45" i="2"/>
  <c r="Q29" i="2"/>
  <c r="L45" i="2"/>
  <c r="L29" i="2"/>
  <c r="M61" i="2"/>
  <c r="P76" i="2"/>
  <c r="P29" i="2"/>
  <c r="O29" i="2"/>
  <c r="M45" i="2"/>
  <c r="N76" i="2"/>
  <c r="O76" i="2"/>
  <c r="N45" i="2"/>
  <c r="M76" i="2"/>
  <c r="P45" i="2"/>
  <c r="O45" i="2"/>
  <c r="L76" i="2"/>
  <c r="Q76" i="2"/>
  <c r="P61" i="2"/>
  <c r="N61" i="2"/>
  <c r="G62" i="1"/>
  <c r="K44" i="1"/>
  <c r="G46" i="1"/>
  <c r="H46" i="1"/>
  <c r="K28" i="1"/>
</calcChain>
</file>

<file path=xl/sharedStrings.xml><?xml version="1.0" encoding="utf-8"?>
<sst xmlns="http://schemas.openxmlformats.org/spreadsheetml/2006/main" count="199" uniqueCount="22">
  <si>
    <t>Baseline</t>
    <phoneticPr fontId="2" type="noConversion"/>
  </si>
  <si>
    <t>Identifier</t>
  </si>
  <si>
    <t>sub6</t>
    <phoneticPr fontId="2" type="noConversion"/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</si>
  <si>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</si>
  <si>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</si>
  <si>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</si>
  <si>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</si>
  <si>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</si>
  <si>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</si>
  <si>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</si>
  <si>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</si>
  <si>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</si>
  <si>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Avg</t>
    <phoneticPr fontId="2" type="noConversion"/>
  </si>
  <si>
    <t>std</t>
    <phoneticPr fontId="2" type="noConversion"/>
  </si>
  <si>
    <t>avg</t>
    <phoneticPr fontId="2" type="noConversion"/>
  </si>
  <si>
    <t>Exponential</t>
    <phoneticPr fontId="2" type="noConversion"/>
  </si>
  <si>
    <t>Rational Quadratic</t>
    <phoneticPr fontId="2" type="noConversion"/>
  </si>
  <si>
    <t>Generalized Gaussian</t>
    <phoneticPr fontId="2" type="noConversion"/>
  </si>
  <si>
    <t>Sigmoid</t>
    <phoneticPr fontId="2" type="noConversion"/>
  </si>
  <si>
    <t>p</t>
    <phoneticPr fontId="2" type="noConversion"/>
  </si>
  <si>
    <t>icc</t>
  </si>
  <si>
    <t>icc(1,1)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</si>
</sst>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/>
  </sheetViews>
  <sheetFormatPr defaultRowHeight="14.25"/>
  <sheetData>
    <row r="1" spans="1:11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</row>
    <row r="2" spans="1:11">
      <c r="B2" t="s">
        <v>2</v>
      </c>
      <c r="C2">
        <v>90.747295968534914</v>
      </c>
      <c r="D2">
        <v>89.105211406096373</v>
      </c>
      <c r="E2">
        <v>87.404187464136086</v>
      </c>
      <c r="F2">
        <v>84.43513063838499</v>
      </c>
      <c r="G2">
        <v>77.519442209707691</v>
      </c>
      <c r="H2">
        <v>60.960475436638717</v>
      </c>
      <c r="K2" t="str">
        <f t="shared" ref="K2:K12" si="0">"    "&amp;_xlfn.TEXTJOIN(", ",TRUE,C2:H2)&amp;","</f>
        <v xml:space="preserve">    90.7472959685349, 89.1052114060964, 87.4041874641361, 84.435130638385, 77.5194422097077, 60.9604754366387,</v>
      </c>
    </row>
    <row r="3" spans="1:11">
      <c r="B3" t="s">
        <v>3</v>
      </c>
      <c r="C3">
        <v>93.529990167158303</v>
      </c>
      <c r="D3">
        <v>90.44253554673196</v>
      </c>
      <c r="E3">
        <v>89.960899315738018</v>
      </c>
      <c r="F3">
        <v>82.017318488914256</v>
      </c>
      <c r="G3">
        <v>68.480811541045625</v>
      </c>
      <c r="H3">
        <v>45.879664472299346</v>
      </c>
      <c r="K3" t="str">
        <f t="shared" si="0"/>
        <v xml:space="preserve">    93.5299901671583, 90.442535546732, 89.960899315738, 82.0173184889143, 68.4808115410456, 45.8796644722993,</v>
      </c>
    </row>
    <row r="4" spans="1:11">
      <c r="B4" t="s">
        <v>4</v>
      </c>
      <c r="C4">
        <v>95.978367748279254</v>
      </c>
      <c r="D4">
        <v>94.877089478859389</v>
      </c>
      <c r="E4">
        <v>92.96992188513741</v>
      </c>
      <c r="F4">
        <v>87.314740323589888</v>
      </c>
      <c r="G4">
        <v>83.549511673976426</v>
      </c>
      <c r="H4">
        <v>67.571432278825924</v>
      </c>
      <c r="K4" t="str">
        <f t="shared" si="0"/>
        <v xml:space="preserve">    95.9783677482793, 94.8770894788594, 92.9699218851374, 87.3147403235899, 83.5495116739764, 67.5714322788259,</v>
      </c>
    </row>
    <row r="5" spans="1:11">
      <c r="B5" t="s">
        <v>5</v>
      </c>
      <c r="C5">
        <v>94.30690000201848</v>
      </c>
      <c r="D5">
        <v>92.576204523107165</v>
      </c>
      <c r="E5">
        <v>92.487824289137436</v>
      </c>
      <c r="F5">
        <v>89.43056024129389</v>
      </c>
      <c r="G5">
        <v>82.381306643367736</v>
      </c>
      <c r="H5">
        <v>65.221700303059137</v>
      </c>
      <c r="K5" t="str">
        <f t="shared" si="0"/>
        <v xml:space="preserve">    94.3069000020185, 92.5762045231072, 92.4878242891374, 89.4305602412939, 82.3813066433677, 65.2217003030591,</v>
      </c>
    </row>
    <row r="6" spans="1:11">
      <c r="B6" t="s">
        <v>6</v>
      </c>
      <c r="C6">
        <v>92.507374631268434</v>
      </c>
      <c r="D6">
        <v>89.017119525255396</v>
      </c>
      <c r="E6">
        <v>85.716917966418393</v>
      </c>
      <c r="F6">
        <v>80.764683662200071</v>
      </c>
      <c r="G6">
        <v>71.949209479897462</v>
      </c>
      <c r="H6">
        <v>53.013924572588571</v>
      </c>
      <c r="K6" t="str">
        <f t="shared" si="0"/>
        <v xml:space="preserve">    92.5073746312684, 89.0171195252554, 85.7169179664184, 80.7646836622001, 71.9492094798975, 53.0139245725886,</v>
      </c>
    </row>
    <row r="7" spans="1:11">
      <c r="B7" t="s">
        <v>7</v>
      </c>
      <c r="C7">
        <v>94.700155999042678</v>
      </c>
      <c r="D7">
        <v>93.254901282306363</v>
      </c>
      <c r="E7">
        <v>91.111687817368662</v>
      </c>
      <c r="F7">
        <v>80.224713593254862</v>
      </c>
      <c r="G7">
        <v>74.198450390285956</v>
      </c>
      <c r="H7">
        <v>59.229491604598657</v>
      </c>
      <c r="K7" t="str">
        <f t="shared" si="0"/>
        <v xml:space="preserve">    94.7001559990427, 93.2549012823064, 91.1116878173687, 80.2247135932549, 74.198450390286, 59.2294916045987,</v>
      </c>
    </row>
    <row r="8" spans="1:11">
      <c r="B8" t="s">
        <v>8</v>
      </c>
      <c r="C8">
        <v>91.357566530275633</v>
      </c>
      <c r="D8">
        <v>89.971885569944376</v>
      </c>
      <c r="E8">
        <v>86.541723255968179</v>
      </c>
      <c r="F8">
        <v>81.26555304688334</v>
      </c>
      <c r="G8">
        <v>77.384233427624807</v>
      </c>
      <c r="H8">
        <v>58.505898263249115</v>
      </c>
      <c r="K8" t="str">
        <f t="shared" si="0"/>
        <v xml:space="preserve">    91.3575665302756, 89.9718855699444, 86.5417232559682, 81.2655530468833, 77.3842334276248, 58.5058982632491,</v>
      </c>
    </row>
    <row r="9" spans="1:11">
      <c r="B9" t="s">
        <v>9</v>
      </c>
      <c r="C9">
        <v>93.176065536899117</v>
      </c>
      <c r="D9">
        <v>91.897738446410997</v>
      </c>
      <c r="E9">
        <v>88.908554572271385</v>
      </c>
      <c r="F9">
        <v>79.038486492097675</v>
      </c>
      <c r="G9">
        <v>67.968523372462855</v>
      </c>
      <c r="H9">
        <v>52.708385597337923</v>
      </c>
      <c r="K9" t="str">
        <f t="shared" si="0"/>
        <v xml:space="preserve">    93.1760655368991, 91.897738446411, 88.9085545722714, 79.0384864920977, 67.9685233724629, 52.7083855973379,</v>
      </c>
    </row>
    <row r="10" spans="1:11">
      <c r="B10" t="s">
        <v>10</v>
      </c>
      <c r="C10">
        <v>86.617502458210424</v>
      </c>
      <c r="D10">
        <v>84.877147149485154</v>
      </c>
      <c r="E10">
        <v>84.700098328416914</v>
      </c>
      <c r="F10">
        <v>81.504655461264079</v>
      </c>
      <c r="G10">
        <v>71.021260276184634</v>
      </c>
      <c r="H10">
        <v>61.190235209647142</v>
      </c>
      <c r="K10" t="str">
        <f t="shared" si="0"/>
        <v xml:space="preserve">    86.6175024582104, 84.8771471494852, 84.7000983284169, 81.5046554612641, 71.0212602761846, 61.1902352096471,</v>
      </c>
    </row>
    <row r="11" spans="1:11">
      <c r="B11" t="s">
        <v>11</v>
      </c>
      <c r="C11">
        <v>98.092428711897739</v>
      </c>
      <c r="D11">
        <v>97.246804326450345</v>
      </c>
      <c r="E11">
        <v>97.423795476892835</v>
      </c>
      <c r="F11">
        <v>92.576204523107165</v>
      </c>
      <c r="G11">
        <v>87.976741436632963</v>
      </c>
      <c r="H11">
        <v>79.746566435119107</v>
      </c>
      <c r="K11" t="str">
        <f t="shared" si="0"/>
        <v xml:space="preserve">    98.0924287118977, 97.2468043264503, 97.4237954768928, 92.5762045231072, 87.976741436633, 79.7465664351191,</v>
      </c>
    </row>
    <row r="12" spans="1:11">
      <c r="B12" t="s">
        <v>14</v>
      </c>
      <c r="C12">
        <v>93.101364775358505</v>
      </c>
      <c r="D12">
        <v>91.326663725464755</v>
      </c>
      <c r="E12">
        <v>89.722561037148537</v>
      </c>
      <c r="F12">
        <v>83.857204647099039</v>
      </c>
      <c r="G12">
        <v>76.242949045118635</v>
      </c>
      <c r="H12">
        <v>60.402777417336367</v>
      </c>
      <c r="K12" t="str">
        <f t="shared" si="0"/>
        <v xml:space="preserve">    93.1013647753585, 91.3266637254648, 89.7225610371485, 83.857204647099, 76.2429490451186, 60.4027774173364,</v>
      </c>
    </row>
    <row r="14" spans="1:11">
      <c r="B14" t="s">
        <v>13</v>
      </c>
      <c r="C14">
        <f>_xlfn.STDEV.P(C2:C11)</f>
        <v>2.9725810488623901</v>
      </c>
      <c r="D14">
        <f t="shared" ref="D14:H14" si="1">_xlfn.STDEV.P(D2:D11)</f>
        <v>3.2823982353484333</v>
      </c>
      <c r="E14">
        <f t="shared" si="1"/>
        <v>3.7001759847620428</v>
      </c>
      <c r="F14">
        <f t="shared" si="1"/>
        <v>4.2542549470168698</v>
      </c>
      <c r="G14">
        <f t="shared" si="1"/>
        <v>6.4052966116267402</v>
      </c>
      <c r="H14">
        <f t="shared" si="1"/>
        <v>8.82847264423736</v>
      </c>
    </row>
    <row r="15" spans="1:11">
      <c r="B15" t="s">
        <v>21</v>
      </c>
      <c r="C15">
        <v>0.63393930027706702</v>
      </c>
      <c r="D15">
        <v>0.35106796798412998</v>
      </c>
      <c r="E15">
        <v>0.43960098818708898</v>
      </c>
      <c r="F15">
        <v>0.46886207287905801</v>
      </c>
      <c r="G15">
        <v>0.51331445697821798</v>
      </c>
      <c r="H15">
        <v>0.69769361415105502</v>
      </c>
    </row>
    <row r="16" spans="1:11" ht="15" thickBot="1"/>
    <row r="17" spans="1:11" ht="15" thickBot="1">
      <c r="A17" s="1" t="s">
        <v>15</v>
      </c>
      <c r="B17" s="2" t="s">
        <v>1</v>
      </c>
      <c r="C17" s="3">
        <v>1</v>
      </c>
      <c r="D17" s="3">
        <v>0.75</v>
      </c>
      <c r="E17" s="3">
        <v>0.5</v>
      </c>
      <c r="F17" s="3">
        <v>0.3</v>
      </c>
      <c r="G17" s="3">
        <v>0.2</v>
      </c>
      <c r="H17" s="3">
        <v>0.1</v>
      </c>
    </row>
    <row r="18" spans="1:11">
      <c r="B18" t="s">
        <v>2</v>
      </c>
      <c r="C18">
        <v>90.226155358898723</v>
      </c>
      <c r="D18">
        <v>90.776794493608648</v>
      </c>
      <c r="E18">
        <v>90.108161258603744</v>
      </c>
      <c r="F18">
        <v>85.752270060006296</v>
      </c>
      <c r="G18">
        <v>80.154643782962367</v>
      </c>
      <c r="H18">
        <v>56.433994527057614</v>
      </c>
      <c r="K18" t="str">
        <f t="shared" ref="K18:K28" si="2">"    "&amp;_xlfn.TEXTJOIN(", ",TRUE,C18:H18)&amp;","</f>
        <v xml:space="preserve">    90.2261553588987, 90.7767944936086, 90.1081612586037, 85.7522700600063, 80.1546437829624, 56.4339945270576,</v>
      </c>
    </row>
    <row r="19" spans="1:11">
      <c r="B19" t="s">
        <v>3</v>
      </c>
      <c r="C19">
        <v>94.650934119960652</v>
      </c>
      <c r="D19">
        <v>93.470993117010821</v>
      </c>
      <c r="E19">
        <v>90.80629301868241</v>
      </c>
      <c r="F19">
        <v>86.598240469208193</v>
      </c>
      <c r="G19">
        <v>76.259425542896849</v>
      </c>
      <c r="H19">
        <v>48.980210324772123</v>
      </c>
      <c r="K19" t="str">
        <f t="shared" si="2"/>
        <v xml:space="preserve">    94.6509341199607, 93.4709931170108, 90.8062930186824, 86.5982404692082, 76.2594255428968, 48.9802103247721,</v>
      </c>
    </row>
    <row r="20" spans="1:11">
      <c r="B20" t="s">
        <v>4</v>
      </c>
      <c r="C20">
        <v>96.401179941002965</v>
      </c>
      <c r="D20">
        <v>95.358898721730569</v>
      </c>
      <c r="E20">
        <v>93.815142576204508</v>
      </c>
      <c r="F20">
        <v>91.929082431508917</v>
      </c>
      <c r="G20">
        <v>86.287338125762332</v>
      </c>
      <c r="H20">
        <v>66.790225982347025</v>
      </c>
      <c r="K20" t="str">
        <f t="shared" si="2"/>
        <v xml:space="preserve">    96.401179941003, 95.3588987217306, 93.8151425762045, 91.9290824315089, 86.2873381257623, 66.790225982347,</v>
      </c>
    </row>
    <row r="21" spans="1:11">
      <c r="B21" t="s">
        <v>5</v>
      </c>
      <c r="C21">
        <v>94.316675173083965</v>
      </c>
      <c r="D21">
        <v>93.195673549655851</v>
      </c>
      <c r="E21">
        <v>91.720862637220037</v>
      </c>
      <c r="F21">
        <v>87.964601769911496</v>
      </c>
      <c r="G21">
        <v>82.638258116419692</v>
      </c>
      <c r="H21">
        <v>58.248687272381254</v>
      </c>
      <c r="K21" t="str">
        <f t="shared" si="2"/>
        <v xml:space="preserve">    94.316675173084, 93.1956735496559, 91.72086263722, 87.9646017699115, 82.6382581164197, 58.2486872723813,</v>
      </c>
    </row>
    <row r="22" spans="1:11">
      <c r="B22" t="s">
        <v>6</v>
      </c>
      <c r="C22">
        <v>91.651975074755555</v>
      </c>
      <c r="D22">
        <v>89.292150739481599</v>
      </c>
      <c r="E22">
        <v>87.473132697226333</v>
      </c>
      <c r="F22">
        <v>81.577060931899638</v>
      </c>
      <c r="G22">
        <v>75.465589379377562</v>
      </c>
      <c r="H22">
        <v>58.404772820987496</v>
      </c>
      <c r="K22" t="str">
        <f t="shared" si="2"/>
        <v xml:space="preserve">    91.6519750747556, 89.2921507394816, 87.4731326972263, 81.5770609318996, 75.4655893793776, 58.4047728209875,</v>
      </c>
    </row>
    <row r="23" spans="1:11">
      <c r="B23" t="s">
        <v>7</v>
      </c>
      <c r="C23">
        <v>95.132801033457596</v>
      </c>
      <c r="D23">
        <v>93.510382154401555</v>
      </c>
      <c r="E23">
        <v>91.750822527299832</v>
      </c>
      <c r="F23">
        <v>86.136442933474044</v>
      </c>
      <c r="G23">
        <v>77.421171463420976</v>
      </c>
      <c r="H23">
        <v>64.234033166376875</v>
      </c>
      <c r="K23" t="str">
        <f t="shared" si="2"/>
        <v xml:space="preserve">    95.1328010334576, 93.5103821544016, 91.7508225272998, 86.136442933474, 77.421171463421, 64.2340331663769,</v>
      </c>
    </row>
    <row r="24" spans="1:11">
      <c r="B24" t="s">
        <v>8</v>
      </c>
      <c r="C24">
        <v>91.268955613802902</v>
      </c>
      <c r="D24">
        <v>90.138294160560804</v>
      </c>
      <c r="E24">
        <v>87.932421560740138</v>
      </c>
      <c r="F24">
        <v>88.831852640017075</v>
      </c>
      <c r="G24">
        <v>84.293981781849325</v>
      </c>
      <c r="H24">
        <v>65.448317026963892</v>
      </c>
      <c r="K24" t="str">
        <f t="shared" si="2"/>
        <v xml:space="preserve">    91.2689556138029, 90.1382941605608, 87.9324215607401, 88.8318526400171, 84.2939817818493, 65.4483170269639,</v>
      </c>
    </row>
    <row r="25" spans="1:11">
      <c r="B25" t="s">
        <v>9</v>
      </c>
      <c r="C25">
        <v>93.490658800393305</v>
      </c>
      <c r="D25">
        <v>93.588987217305814</v>
      </c>
      <c r="E25">
        <v>91.514257620452327</v>
      </c>
      <c r="F25">
        <v>85.358898721730569</v>
      </c>
      <c r="G25">
        <v>74.735075562937382</v>
      </c>
      <c r="H25">
        <v>51.059149877305742</v>
      </c>
      <c r="K25" t="str">
        <f t="shared" si="2"/>
        <v xml:space="preserve">    93.4906588003933, 93.5889872173058, 91.5142576204523, 85.3588987217306, 74.7350755629374, 51.0591498773057,</v>
      </c>
    </row>
    <row r="26" spans="1:11">
      <c r="B26" t="s">
        <v>10</v>
      </c>
      <c r="C26">
        <v>86.922320550639142</v>
      </c>
      <c r="D26">
        <v>86.735496558505403</v>
      </c>
      <c r="E26">
        <v>87.000983284169138</v>
      </c>
      <c r="F26">
        <v>83.716929500543543</v>
      </c>
      <c r="G26">
        <v>79.214151218147791</v>
      </c>
      <c r="H26">
        <v>62.076949915945058</v>
      </c>
      <c r="K26" t="str">
        <f t="shared" si="2"/>
        <v xml:space="preserve">    86.9223205506391, 86.7354965585054, 87.0009832841691, 83.7169295005435, 79.2141512181478, 62.0769499159451,</v>
      </c>
    </row>
    <row r="27" spans="1:11">
      <c r="B27" t="s">
        <v>11</v>
      </c>
      <c r="C27">
        <v>97.817109144542769</v>
      </c>
      <c r="D27">
        <v>98.131760078662737</v>
      </c>
      <c r="E27">
        <v>98.180981957744734</v>
      </c>
      <c r="F27">
        <v>98.51524090462145</v>
      </c>
      <c r="G27">
        <v>97.395335023082666</v>
      </c>
      <c r="H27">
        <v>84.812671389890923</v>
      </c>
      <c r="K27" t="str">
        <f t="shared" si="2"/>
        <v xml:space="preserve">    97.8171091445428, 98.1317600786627, 98.1809819577447, 98.5152409046215, 97.3953350230827, 84.8126713898909,</v>
      </c>
    </row>
    <row r="28" spans="1:11">
      <c r="B28" t="s">
        <v>12</v>
      </c>
      <c r="C28">
        <v>93.187876481053749</v>
      </c>
      <c r="D28">
        <v>92.419943079092377</v>
      </c>
      <c r="E28">
        <v>91.030305913834326</v>
      </c>
      <c r="F28">
        <v>87.638062036292141</v>
      </c>
      <c r="G28">
        <v>81.386496999685704</v>
      </c>
      <c r="H28">
        <v>61.648901230402807</v>
      </c>
      <c r="K28" t="str">
        <f t="shared" si="2"/>
        <v xml:space="preserve">    93.1878764810537, 92.4199430790924, 91.0303059138343, 87.6380620362921, 81.3864969996857, 61.6489012304028,</v>
      </c>
    </row>
    <row r="30" spans="1:11">
      <c r="B30" t="s">
        <v>13</v>
      </c>
      <c r="C30">
        <f>_xlfn.STDEV.P(C18:C27)</f>
        <v>3.0514665411075468</v>
      </c>
      <c r="D30">
        <f t="shared" ref="D30:H30" si="3">_xlfn.STDEV.P(D18:D27)</f>
        <v>3.090734143399458</v>
      </c>
      <c r="E30">
        <f t="shared" si="3"/>
        <v>3.1544262126139913</v>
      </c>
      <c r="F30">
        <f t="shared" si="3"/>
        <v>4.4995059810262727</v>
      </c>
      <c r="G30">
        <f t="shared" si="3"/>
        <v>6.4642654904129051</v>
      </c>
      <c r="H30">
        <f t="shared" si="3"/>
        <v>9.5195315032296399</v>
      </c>
    </row>
    <row r="31" spans="1:11">
      <c r="B31" t="s">
        <v>20</v>
      </c>
      <c r="C31">
        <v>0.57384274077185204</v>
      </c>
      <c r="D31">
        <v>0.39682898360666902</v>
      </c>
      <c r="E31">
        <v>0.42059403759730002</v>
      </c>
      <c r="F31">
        <v>0.55251403257951903</v>
      </c>
      <c r="G31">
        <v>0.62685743898357404</v>
      </c>
      <c r="H31">
        <v>0.73267969417286904</v>
      </c>
    </row>
    <row r="32" spans="1:11" ht="15" thickBot="1"/>
    <row r="33" spans="1:11" ht="15" thickBot="1">
      <c r="A33" s="1" t="s">
        <v>16</v>
      </c>
      <c r="B33" s="2" t="s">
        <v>1</v>
      </c>
      <c r="C33" s="3">
        <v>1</v>
      </c>
      <c r="D33" s="3">
        <v>0.75</v>
      </c>
      <c r="E33" s="3">
        <v>0.5</v>
      </c>
      <c r="F33" s="3">
        <v>0.3</v>
      </c>
      <c r="G33" s="3">
        <v>0.2</v>
      </c>
      <c r="H33" s="3">
        <v>0.1</v>
      </c>
    </row>
    <row r="34" spans="1:11">
      <c r="B34" t="s">
        <v>2</v>
      </c>
      <c r="C34">
        <v>91.484759095378578</v>
      </c>
      <c r="D34">
        <v>90.3835961672102</v>
      </c>
      <c r="E34">
        <v>89.390421485768343</v>
      </c>
      <c r="F34">
        <v>88.329051289371023</v>
      </c>
      <c r="G34">
        <v>85.360398158000223</v>
      </c>
      <c r="H34">
        <v>59.848268583638259</v>
      </c>
      <c r="K34" t="str">
        <f t="shared" ref="K34:K44" si="4">"    "&amp;_xlfn.TEXTJOIN(", ",TRUE,C34:H34)&amp;","</f>
        <v xml:space="preserve">    91.4847590953786, 90.3835961672102, 89.3904214857683, 88.329051289371, 85.3603981580002, 59.8482685836383,</v>
      </c>
    </row>
    <row r="35" spans="1:11">
      <c r="B35" t="s">
        <v>3</v>
      </c>
      <c r="C35">
        <v>94.837758112094392</v>
      </c>
      <c r="D35">
        <v>94.316617502458215</v>
      </c>
      <c r="E35">
        <v>94.355948869223212</v>
      </c>
      <c r="F35">
        <v>89.075770551648361</v>
      </c>
      <c r="G35">
        <v>79.481454568522793</v>
      </c>
      <c r="H35">
        <v>52.338976404063466</v>
      </c>
      <c r="K35" t="str">
        <f t="shared" si="4"/>
        <v xml:space="preserve">    94.8377581120944, 94.3166175024582, 94.3559488692232, 89.0757705516484, 79.4814545685228, 52.3389764040635,</v>
      </c>
    </row>
    <row r="36" spans="1:11">
      <c r="B36" t="s">
        <v>4</v>
      </c>
      <c r="C36">
        <v>96.204523107177977</v>
      </c>
      <c r="D36">
        <v>96.686332350049156</v>
      </c>
      <c r="E36">
        <v>95.880039331366774</v>
      </c>
      <c r="F36">
        <v>94.621435594886918</v>
      </c>
      <c r="G36">
        <v>89.723094490436779</v>
      </c>
      <c r="H36">
        <v>71.469649391430721</v>
      </c>
      <c r="K36" t="str">
        <f t="shared" si="4"/>
        <v xml:space="preserve">    96.204523107178, 96.6863323500492, 95.8800393313668, 94.6214355948869, 89.7230944904368, 71.4696493914307,</v>
      </c>
    </row>
    <row r="37" spans="1:11">
      <c r="B37" t="s">
        <v>5</v>
      </c>
      <c r="C37">
        <v>93.874139626352019</v>
      </c>
      <c r="D37">
        <v>93.805367405139023</v>
      </c>
      <c r="E37">
        <v>92.350049164208443</v>
      </c>
      <c r="F37">
        <v>89.301868239921347</v>
      </c>
      <c r="G37">
        <v>83.299999711646876</v>
      </c>
      <c r="H37">
        <v>59.79959457550094</v>
      </c>
      <c r="K37" t="str">
        <f t="shared" si="4"/>
        <v xml:space="preserve">    93.874139626352, 93.805367405139, 92.3500491642084, 89.3018682399213, 83.2999997116469, 59.7995945755009,</v>
      </c>
    </row>
    <row r="38" spans="1:11">
      <c r="B38" t="s">
        <v>6</v>
      </c>
      <c r="C38">
        <v>92.192781367774231</v>
      </c>
      <c r="D38">
        <v>91.465958471382393</v>
      </c>
      <c r="E38">
        <v>91.081670256663116</v>
      </c>
      <c r="F38">
        <v>85.10410989714444</v>
      </c>
      <c r="G38">
        <v>79.561616738322428</v>
      </c>
      <c r="H38">
        <v>57.277859958419477</v>
      </c>
      <c r="K38" t="str">
        <f t="shared" si="4"/>
        <v xml:space="preserve">    92.1927813677742, 91.4659584713824, 91.0816702566631, 85.1041098971444, 79.5616167383224, 57.2778599584195,</v>
      </c>
    </row>
    <row r="39" spans="1:11">
      <c r="B39" t="s">
        <v>7</v>
      </c>
      <c r="C39">
        <v>95.329400196656835</v>
      </c>
      <c r="D39">
        <v>95.083579154375613</v>
      </c>
      <c r="E39">
        <v>94.759441402318942</v>
      </c>
      <c r="F39">
        <v>90.718547161595964</v>
      </c>
      <c r="G39">
        <v>80.98576400603234</v>
      </c>
      <c r="H39">
        <v>65.204543291896996</v>
      </c>
      <c r="K39" t="str">
        <f t="shared" si="4"/>
        <v xml:space="preserve">    95.3294001966568, 95.0835791543756, 94.7594414023189, 90.718547161596, 80.9857640060323, 65.204543291897,</v>
      </c>
    </row>
    <row r="40" spans="1:11">
      <c r="B40" t="s">
        <v>8</v>
      </c>
      <c r="C40">
        <v>92.005899705014755</v>
      </c>
      <c r="D40">
        <v>91.809358212441282</v>
      </c>
      <c r="E40">
        <v>90.836252908762205</v>
      </c>
      <c r="F40">
        <v>89.217178925999931</v>
      </c>
      <c r="G40">
        <v>85.225939094052137</v>
      </c>
      <c r="H40">
        <v>66.956086702018766</v>
      </c>
      <c r="K40" t="str">
        <f t="shared" si="4"/>
        <v xml:space="preserve">    92.0058997050148, 91.8093582124413, 90.8362529087622, 89.2171789259999, 85.2259390940521, 66.9560867020188,</v>
      </c>
    </row>
    <row r="41" spans="1:11">
      <c r="B41" t="s">
        <v>9</v>
      </c>
      <c r="C41">
        <v>93.883972468043268</v>
      </c>
      <c r="D41">
        <v>93.441494591937087</v>
      </c>
      <c r="E41">
        <v>92.232055063913478</v>
      </c>
      <c r="F41">
        <v>87.601767027973139</v>
      </c>
      <c r="G41">
        <v>81.224059031652516</v>
      </c>
      <c r="H41">
        <v>49.821826601729548</v>
      </c>
      <c r="K41" t="str">
        <f t="shared" si="4"/>
        <v xml:space="preserve">    93.8839724680433, 93.4414945919371, 92.2320550639135, 87.6017670279731, 81.2240590316525, 49.8218266017295,</v>
      </c>
    </row>
    <row r="42" spans="1:11">
      <c r="B42" t="s">
        <v>10</v>
      </c>
      <c r="C42">
        <v>87.954768928220275</v>
      </c>
      <c r="D42">
        <v>87.040314650934121</v>
      </c>
      <c r="E42">
        <v>86.981375271412389</v>
      </c>
      <c r="F42">
        <v>83.38255521241534</v>
      </c>
      <c r="G42">
        <v>80.403809721537371</v>
      </c>
      <c r="H42">
        <v>66.47214364599462</v>
      </c>
      <c r="K42" t="str">
        <f t="shared" si="4"/>
        <v xml:space="preserve">    87.9547689282203, 87.0403146509341, 86.9813752714124, 83.3825552124153, 80.4038097215374, 66.4721436459946,</v>
      </c>
    </row>
    <row r="43" spans="1:11">
      <c r="B43" t="s">
        <v>11</v>
      </c>
      <c r="C43">
        <v>98.171091445427734</v>
      </c>
      <c r="D43">
        <v>98.810226155358876</v>
      </c>
      <c r="E43">
        <v>98.829891838741389</v>
      </c>
      <c r="F43">
        <v>98.770894788593907</v>
      </c>
      <c r="G43">
        <v>97.985132512680323</v>
      </c>
      <c r="H43">
        <v>86.903779444458863</v>
      </c>
      <c r="K43" t="str">
        <f t="shared" si="4"/>
        <v xml:space="preserve">    98.1710914454277, 98.8102261553589, 98.8298918387414, 98.7708947885939, 97.9851325126803, 86.9037794444589,</v>
      </c>
    </row>
    <row r="44" spans="1:11">
      <c r="B44" t="s">
        <v>12</v>
      </c>
      <c r="C44">
        <v>93.593909405213992</v>
      </c>
      <c r="D44">
        <v>93.284284466128597</v>
      </c>
      <c r="E44">
        <v>92.669714559237832</v>
      </c>
      <c r="F44">
        <v>89.612317868955046</v>
      </c>
      <c r="G44">
        <v>84.325126803288384</v>
      </c>
      <c r="H44">
        <v>63.609272859915166</v>
      </c>
      <c r="K44" t="str">
        <f t="shared" si="4"/>
        <v xml:space="preserve">    93.593909405214, 93.2842844661286, 92.6697145592378, 89.612317868955, 84.3251268032884, 63.6092728599152,</v>
      </c>
    </row>
    <row r="46" spans="1:11">
      <c r="B46" t="s">
        <v>13</v>
      </c>
      <c r="C46">
        <f>_xlfn.STDEV.P(C34:C43)</f>
        <v>2.7059380575718959</v>
      </c>
      <c r="D46">
        <f t="shared" ref="D46:H46" si="5">_xlfn.STDEV.P(D34:D43)</f>
        <v>3.1558239054298509</v>
      </c>
      <c r="E46">
        <f t="shared" si="5"/>
        <v>3.2365487595396636</v>
      </c>
      <c r="F46">
        <f t="shared" si="5"/>
        <v>4.1899630223375821</v>
      </c>
      <c r="G46">
        <f t="shared" si="5"/>
        <v>5.4860261389797769</v>
      </c>
      <c r="H46">
        <f t="shared" si="5"/>
        <v>10.060916875058966</v>
      </c>
    </row>
    <row r="47" spans="1:11">
      <c r="B47" t="s">
        <v>20</v>
      </c>
      <c r="C47">
        <v>0.43046697145366503</v>
      </c>
      <c r="D47">
        <v>0.49812929805865303</v>
      </c>
      <c r="E47">
        <v>0.44527622333608702</v>
      </c>
      <c r="F47">
        <v>0.54006827335107099</v>
      </c>
      <c r="G47">
        <v>0.580840389126693</v>
      </c>
      <c r="H47">
        <v>0.67581771532977697</v>
      </c>
    </row>
    <row r="48" spans="1:11" ht="15" thickBot="1"/>
    <row r="49" spans="1:8" ht="15" thickBot="1">
      <c r="A49" s="1" t="s">
        <v>17</v>
      </c>
      <c r="B49" s="2" t="s">
        <v>1</v>
      </c>
      <c r="C49" s="3">
        <v>1</v>
      </c>
      <c r="D49" s="3">
        <v>0.75</v>
      </c>
      <c r="E49" s="3">
        <v>0.5</v>
      </c>
      <c r="F49" s="3">
        <v>0.3</v>
      </c>
      <c r="G49" s="3">
        <v>0.2</v>
      </c>
      <c r="H49" s="3">
        <v>0.1</v>
      </c>
    </row>
    <row r="50" spans="1:8">
      <c r="B50" t="s">
        <v>2</v>
      </c>
      <c r="C50">
        <v>91.003007523133135</v>
      </c>
      <c r="D50">
        <v>90.245821042281207</v>
      </c>
      <c r="E50">
        <v>88.652900688298928</v>
      </c>
      <c r="F50">
        <v>87.581409297081578</v>
      </c>
      <c r="G50">
        <v>85.086116661908832</v>
      </c>
      <c r="H50">
        <v>58.133115338367979</v>
      </c>
    </row>
    <row r="51" spans="1:8">
      <c r="B51" t="s">
        <v>3</v>
      </c>
      <c r="C51">
        <v>94.090462143559478</v>
      </c>
      <c r="D51">
        <v>94.011799410029496</v>
      </c>
      <c r="E51">
        <v>92.831916077705401</v>
      </c>
      <c r="F51">
        <v>90.403434862469979</v>
      </c>
      <c r="G51">
        <v>78.486261415179484</v>
      </c>
      <c r="H51">
        <v>47.512319887426933</v>
      </c>
    </row>
    <row r="52" spans="1:8">
      <c r="B52" t="s">
        <v>4</v>
      </c>
      <c r="C52">
        <v>95.280235988200573</v>
      </c>
      <c r="D52">
        <v>96.037364798426736</v>
      </c>
      <c r="E52">
        <v>95.958702064896741</v>
      </c>
      <c r="F52">
        <v>95.417895771878079</v>
      </c>
      <c r="G52">
        <v>90.085583208620605</v>
      </c>
      <c r="H52">
        <v>64.900417246977341</v>
      </c>
    </row>
    <row r="53" spans="1:8">
      <c r="B53" t="s">
        <v>5</v>
      </c>
      <c r="C53">
        <v>93.992133726647012</v>
      </c>
      <c r="D53">
        <v>93.510439825027319</v>
      </c>
      <c r="E53">
        <v>93.146624682451105</v>
      </c>
      <c r="F53">
        <v>91.909416748126432</v>
      </c>
      <c r="G53">
        <v>85.475998927326373</v>
      </c>
      <c r="H53">
        <v>59.233932242781812</v>
      </c>
    </row>
    <row r="54" spans="1:8">
      <c r="B54" t="s">
        <v>6</v>
      </c>
      <c r="C54">
        <v>92.21244705115673</v>
      </c>
      <c r="D54">
        <v>93.058071436604109</v>
      </c>
      <c r="E54">
        <v>91.691364112146303</v>
      </c>
      <c r="F54">
        <v>89.932438861927878</v>
      </c>
      <c r="G54">
        <v>83.602626320296892</v>
      </c>
      <c r="H54">
        <v>51.627955259128534</v>
      </c>
    </row>
    <row r="55" spans="1:8">
      <c r="B55" t="s">
        <v>7</v>
      </c>
      <c r="C55">
        <v>94.95575221238937</v>
      </c>
      <c r="D55">
        <v>95.04436312886213</v>
      </c>
      <c r="E55">
        <v>95.093527337318392</v>
      </c>
      <c r="F55">
        <v>94.524029907986517</v>
      </c>
      <c r="G55">
        <v>89.683763123671781</v>
      </c>
      <c r="H55">
        <v>60.966992217349059</v>
      </c>
    </row>
    <row r="56" spans="1:8">
      <c r="B56" t="s">
        <v>8</v>
      </c>
      <c r="C56">
        <v>92.291109784686725</v>
      </c>
      <c r="D56">
        <v>91.907628958728012</v>
      </c>
      <c r="E56">
        <v>91.329682782723054</v>
      </c>
      <c r="F56">
        <v>88.495834739054843</v>
      </c>
      <c r="G56">
        <v>84.890353722783075</v>
      </c>
      <c r="H56">
        <v>63.606634428786869</v>
      </c>
    </row>
    <row r="57" spans="1:8">
      <c r="B57" t="s">
        <v>9</v>
      </c>
      <c r="C57">
        <v>94.021632251720746</v>
      </c>
      <c r="D57">
        <v>93.235062587046585</v>
      </c>
      <c r="E57">
        <v>92.261553588987226</v>
      </c>
      <c r="F57">
        <v>91.465093411996065</v>
      </c>
      <c r="G57">
        <v>84.379305472654039</v>
      </c>
      <c r="H57">
        <v>52.378653794583009</v>
      </c>
    </row>
    <row r="58" spans="1:8">
      <c r="B58" t="s">
        <v>10</v>
      </c>
      <c r="C58">
        <v>87.109144542772853</v>
      </c>
      <c r="D58">
        <v>86.676499508357907</v>
      </c>
      <c r="E58">
        <v>87.040314650934121</v>
      </c>
      <c r="F58">
        <v>85.683382497541785</v>
      </c>
      <c r="G58">
        <v>81.021663970564916</v>
      </c>
      <c r="H58">
        <v>61.772593188522393</v>
      </c>
    </row>
    <row r="59" spans="1:8">
      <c r="B59" t="s">
        <v>11</v>
      </c>
      <c r="C59">
        <v>97.758112094395301</v>
      </c>
      <c r="D59">
        <v>97.866273352999016</v>
      </c>
      <c r="E59">
        <v>98.07276302851524</v>
      </c>
      <c r="F59">
        <v>98.544739429695184</v>
      </c>
      <c r="G59">
        <v>98.289316228225744</v>
      </c>
      <c r="H59">
        <v>81.258373053976825</v>
      </c>
    </row>
    <row r="60" spans="1:8">
      <c r="B60" t="s">
        <v>12</v>
      </c>
      <c r="C60">
        <v>93.271403731866187</v>
      </c>
      <c r="D60">
        <v>93.159332404836249</v>
      </c>
      <c r="E60">
        <v>92.607934901397641</v>
      </c>
      <c r="F60">
        <v>91.395767552775837</v>
      </c>
      <c r="G60">
        <v>86.100098905123161</v>
      </c>
      <c r="H60">
        <v>60.139098665790073</v>
      </c>
    </row>
    <row r="62" spans="1:8">
      <c r="B62" t="s">
        <v>13</v>
      </c>
      <c r="C62">
        <f>_xlfn.STDEV.P(C50:C59)</f>
        <v>2.719514021940685</v>
      </c>
      <c r="D62">
        <f t="shared" ref="D62:H62" si="6">_xlfn.STDEV.P(D50:D59)</f>
        <v>2.9485606993685711</v>
      </c>
      <c r="E62">
        <f t="shared" si="6"/>
        <v>3.1119963437048317</v>
      </c>
      <c r="F62">
        <f t="shared" si="6"/>
        <v>3.6885812789390995</v>
      </c>
      <c r="G62">
        <f t="shared" si="6"/>
        <v>5.2263220293968713</v>
      </c>
      <c r="H62">
        <f t="shared" si="6"/>
        <v>8.8375014910324641</v>
      </c>
    </row>
    <row r="63" spans="1:8">
      <c r="B63" t="s">
        <v>20</v>
      </c>
      <c r="C63">
        <v>0.54545242083600698</v>
      </c>
      <c r="D63">
        <v>0.56111238161937105</v>
      </c>
      <c r="E63">
        <v>0.579553752839014</v>
      </c>
      <c r="F63">
        <v>0.50325009331102399</v>
      </c>
      <c r="G63">
        <v>0.69530407663473104</v>
      </c>
      <c r="H63">
        <v>0.76057204753676899</v>
      </c>
    </row>
    <row r="64" spans="1:8" ht="15" thickBot="1"/>
    <row r="65" spans="1:8" ht="15" thickBot="1">
      <c r="A65" s="1" t="s">
        <v>18</v>
      </c>
      <c r="B65" s="2" t="s">
        <v>1</v>
      </c>
      <c r="C65" s="3">
        <v>1</v>
      </c>
      <c r="D65" s="3">
        <v>0.75</v>
      </c>
      <c r="E65" s="3">
        <v>0.5</v>
      </c>
      <c r="F65" s="3">
        <v>0.3</v>
      </c>
      <c r="G65" s="3">
        <v>0.2</v>
      </c>
      <c r="H65" s="3">
        <v>0.1</v>
      </c>
    </row>
    <row r="66" spans="1:8">
      <c r="B66" t="s">
        <v>2</v>
      </c>
      <c r="C66">
        <v>91.052114060963618</v>
      </c>
      <c r="D66">
        <v>90.138121148683538</v>
      </c>
      <c r="E66">
        <v>89.115044247787594</v>
      </c>
      <c r="F66">
        <v>88.515240904621422</v>
      </c>
      <c r="G66">
        <v>84.082993797524196</v>
      </c>
      <c r="H66">
        <v>60.991473397982105</v>
      </c>
    </row>
    <row r="67" spans="1:8">
      <c r="B67" t="s">
        <v>3</v>
      </c>
      <c r="C67">
        <v>94.621435594886918</v>
      </c>
      <c r="D67">
        <v>93.942969518190765</v>
      </c>
      <c r="E67">
        <v>92.291109784686725</v>
      </c>
      <c r="F67">
        <v>89.537856440511305</v>
      </c>
      <c r="G67">
        <v>80.810964339368567</v>
      </c>
      <c r="H67">
        <v>51.519044282389984</v>
      </c>
    </row>
    <row r="68" spans="1:8">
      <c r="B68" t="s">
        <v>4</v>
      </c>
      <c r="C68">
        <v>96.135693215339231</v>
      </c>
      <c r="D68">
        <v>96.076696165191734</v>
      </c>
      <c r="E68">
        <v>95.663716814159287</v>
      </c>
      <c r="F68">
        <v>94.228121927236955</v>
      </c>
      <c r="G68">
        <v>90.240832533153409</v>
      </c>
      <c r="H68">
        <v>73.164646752999587</v>
      </c>
    </row>
    <row r="69" spans="1:8">
      <c r="B69" t="s">
        <v>5</v>
      </c>
      <c r="C69">
        <v>94.159292035398224</v>
      </c>
      <c r="D69">
        <v>93.657817109144545</v>
      </c>
      <c r="E69">
        <v>92.635259243880412</v>
      </c>
      <c r="F69">
        <v>88.800393313667655</v>
      </c>
      <c r="G69">
        <v>83.849197080712926</v>
      </c>
      <c r="H69">
        <v>61.49496679613722</v>
      </c>
    </row>
    <row r="70" spans="1:8">
      <c r="B70" t="s">
        <v>6</v>
      </c>
      <c r="C70">
        <v>92.910636481861161</v>
      </c>
      <c r="D70">
        <v>92.104343463178751</v>
      </c>
      <c r="E70">
        <v>89.666144747503594</v>
      </c>
      <c r="F70">
        <v>83.925379977335453</v>
      </c>
      <c r="G70">
        <v>78.480061822910798</v>
      </c>
      <c r="H70">
        <v>57.79461760049827</v>
      </c>
    </row>
    <row r="71" spans="1:8">
      <c r="B71" t="s">
        <v>7</v>
      </c>
      <c r="C71">
        <v>95.821042281219263</v>
      </c>
      <c r="D71">
        <v>95.23107177974434</v>
      </c>
      <c r="E71">
        <v>94.621781618641464</v>
      </c>
      <c r="F71">
        <v>89.499793827512917</v>
      </c>
      <c r="G71">
        <v>80.993030504877495</v>
      </c>
      <c r="H71">
        <v>64.067941764202118</v>
      </c>
    </row>
    <row r="72" spans="1:8">
      <c r="B72" t="s">
        <v>8</v>
      </c>
      <c r="C72">
        <v>93.245068440615114</v>
      </c>
      <c r="D72">
        <v>86.984201132074375</v>
      </c>
      <c r="E72">
        <v>91.104738506965148</v>
      </c>
      <c r="F72">
        <v>87.340749775805435</v>
      </c>
      <c r="G72">
        <v>87.510013062396737</v>
      </c>
      <c r="H72">
        <v>67.480024337004068</v>
      </c>
    </row>
    <row r="73" spans="1:8">
      <c r="B73" t="s">
        <v>9</v>
      </c>
      <c r="C73">
        <v>93.343166175024578</v>
      </c>
      <c r="D73">
        <v>92.890855457227147</v>
      </c>
      <c r="E73">
        <v>90.442477876106196</v>
      </c>
      <c r="F73">
        <v>88.407079646017721</v>
      </c>
      <c r="G73">
        <v>81.813568168121392</v>
      </c>
      <c r="H73">
        <v>51.698688281617194</v>
      </c>
    </row>
    <row r="74" spans="1:8">
      <c r="B74" t="s">
        <v>10</v>
      </c>
      <c r="C74">
        <v>86.784660766961636</v>
      </c>
      <c r="D74">
        <v>87.413962635201571</v>
      </c>
      <c r="E74">
        <v>86.578171091445441</v>
      </c>
      <c r="F74">
        <v>84.287118977384452</v>
      </c>
      <c r="G74">
        <v>79.890944846697053</v>
      </c>
      <c r="H74">
        <v>68.39799652246127</v>
      </c>
    </row>
    <row r="75" spans="1:8">
      <c r="B75" t="s">
        <v>11</v>
      </c>
      <c r="C75">
        <v>98.07276302851524</v>
      </c>
      <c r="D75">
        <v>98.397246804326457</v>
      </c>
      <c r="E75">
        <v>98.554572271386448</v>
      </c>
      <c r="F75">
        <v>98.554572271386448</v>
      </c>
      <c r="G75">
        <v>98.426918341277471</v>
      </c>
      <c r="H75">
        <v>88.099752881368644</v>
      </c>
    </row>
    <row r="76" spans="1:8">
      <c r="B76" t="s">
        <v>12</v>
      </c>
      <c r="C76">
        <v>93.614587208078504</v>
      </c>
      <c r="D76">
        <v>92.683728521296331</v>
      </c>
      <c r="E76">
        <v>92.067301620256231</v>
      </c>
      <c r="F76">
        <v>89.309630706147971</v>
      </c>
      <c r="G76">
        <v>84.609852449703993</v>
      </c>
      <c r="H76">
        <v>64.47091526166605</v>
      </c>
    </row>
    <row r="78" spans="1:8">
      <c r="B78" t="s">
        <v>13</v>
      </c>
      <c r="C78">
        <f>_xlfn.STDEV.P(C66:C75)</f>
        <v>2.9381988037039193</v>
      </c>
      <c r="D78">
        <f t="shared" ref="D78:H78" si="7">_xlfn.STDEV.P(D66:D75)</f>
        <v>3.4683391588487265</v>
      </c>
      <c r="E78">
        <f t="shared" si="7"/>
        <v>3.3180631186975429</v>
      </c>
      <c r="F78">
        <f t="shared" si="7"/>
        <v>4.1175963598211025</v>
      </c>
      <c r="G78">
        <f t="shared" si="7"/>
        <v>5.7189241513972178</v>
      </c>
      <c r="H78">
        <f t="shared" si="7"/>
        <v>10.271117300975391</v>
      </c>
    </row>
    <row r="79" spans="1:8">
      <c r="B79" t="s">
        <v>20</v>
      </c>
      <c r="C79">
        <v>0.55106798469654905</v>
      </c>
      <c r="D79">
        <v>0.25037183036052102</v>
      </c>
      <c r="E79">
        <v>0.47654569021089799</v>
      </c>
      <c r="F79">
        <v>0.53385261906388903</v>
      </c>
      <c r="G79">
        <v>0.58382909171808695</v>
      </c>
      <c r="H79">
        <v>0.63160769236858005</v>
      </c>
    </row>
  </sheetData>
  <phoneticPr fontId="2" type="noConversion"/>
  <conditionalFormatting sqref="C2:H12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H28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4:H4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0:H60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6:H7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2423-130F-4AA1-988E-4DD91EE4E4B3}">
  <dimension ref="A1:Q76"/>
  <sheetViews>
    <sheetView workbookViewId="0"/>
  </sheetViews>
  <sheetFormatPr defaultRowHeight="14.25"/>
  <cols>
    <col min="12" max="12" width="13" bestFit="1" customWidth="1"/>
  </cols>
  <sheetData>
    <row r="1" spans="1:17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</row>
    <row r="2" spans="1:17">
      <c r="B2" t="s">
        <v>2</v>
      </c>
      <c r="C2">
        <v>90.747295968534914</v>
      </c>
      <c r="D2">
        <v>89.105211406096373</v>
      </c>
      <c r="E2">
        <v>87.404187464136086</v>
      </c>
      <c r="F2">
        <v>84.43513063838499</v>
      </c>
      <c r="G2">
        <v>77.519442209707691</v>
      </c>
      <c r="H2">
        <v>60.960475436638717</v>
      </c>
    </row>
    <row r="3" spans="1:17">
      <c r="B3" t="s">
        <v>3</v>
      </c>
      <c r="C3">
        <v>93.529990167158303</v>
      </c>
      <c r="D3">
        <v>90.44253554673196</v>
      </c>
      <c r="E3">
        <v>89.960899315738018</v>
      </c>
      <c r="F3">
        <v>82.017318488914256</v>
      </c>
      <c r="G3">
        <v>68.480811541045625</v>
      </c>
      <c r="H3">
        <v>45.879664472299346</v>
      </c>
    </row>
    <row r="4" spans="1:17">
      <c r="B4" t="s">
        <v>4</v>
      </c>
      <c r="C4">
        <v>95.978367748279254</v>
      </c>
      <c r="D4">
        <v>94.877089478859389</v>
      </c>
      <c r="E4">
        <v>92.96992188513741</v>
      </c>
      <c r="F4">
        <v>87.314740323589888</v>
      </c>
      <c r="G4">
        <v>83.549511673976426</v>
      </c>
      <c r="H4">
        <v>67.571432278825924</v>
      </c>
    </row>
    <row r="5" spans="1:17">
      <c r="B5" t="s">
        <v>5</v>
      </c>
      <c r="C5">
        <v>94.30690000201848</v>
      </c>
      <c r="D5">
        <v>92.576204523107165</v>
      </c>
      <c r="E5">
        <v>92.487824289137436</v>
      </c>
      <c r="F5">
        <v>89.43056024129389</v>
      </c>
      <c r="G5">
        <v>82.381306643367736</v>
      </c>
      <c r="H5">
        <v>65.221700303059137</v>
      </c>
    </row>
    <row r="6" spans="1:17">
      <c r="B6" t="s">
        <v>6</v>
      </c>
      <c r="C6">
        <v>92.507374631268434</v>
      </c>
      <c r="D6">
        <v>89.017119525255396</v>
      </c>
      <c r="E6">
        <v>85.716917966418393</v>
      </c>
      <c r="F6">
        <v>80.764683662200071</v>
      </c>
      <c r="G6">
        <v>71.949209479897462</v>
      </c>
      <c r="H6">
        <v>53.013924572588571</v>
      </c>
    </row>
    <row r="7" spans="1:17">
      <c r="B7" t="s">
        <v>7</v>
      </c>
      <c r="C7">
        <v>94.700155999042678</v>
      </c>
      <c r="D7">
        <v>93.254901282306363</v>
      </c>
      <c r="E7">
        <v>91.111687817368662</v>
      </c>
      <c r="F7">
        <v>80.224713593254862</v>
      </c>
      <c r="G7">
        <v>74.198450390285956</v>
      </c>
      <c r="H7">
        <v>59.229491604598657</v>
      </c>
    </row>
    <row r="8" spans="1:17">
      <c r="B8" t="s">
        <v>8</v>
      </c>
      <c r="C8">
        <v>91.357566530275633</v>
      </c>
      <c r="D8">
        <v>89.971885569944376</v>
      </c>
      <c r="E8">
        <v>86.541723255968179</v>
      </c>
      <c r="F8">
        <v>81.26555304688334</v>
      </c>
      <c r="G8">
        <v>77.384233427624807</v>
      </c>
      <c r="H8">
        <v>58.505898263249115</v>
      </c>
    </row>
    <row r="9" spans="1:17">
      <c r="B9" t="s">
        <v>9</v>
      </c>
      <c r="C9">
        <v>93.176065536899117</v>
      </c>
      <c r="D9">
        <v>91.897738446410997</v>
      </c>
      <c r="E9">
        <v>88.908554572271385</v>
      </c>
      <c r="F9">
        <v>79.038486492097675</v>
      </c>
      <c r="G9">
        <v>67.968523372462855</v>
      </c>
      <c r="H9">
        <v>52.708385597337923</v>
      </c>
    </row>
    <row r="10" spans="1:17">
      <c r="B10" t="s">
        <v>10</v>
      </c>
      <c r="C10">
        <v>86.617502458210424</v>
      </c>
      <c r="D10">
        <v>84.877147149485154</v>
      </c>
      <c r="E10">
        <v>84.700098328416914</v>
      </c>
      <c r="F10">
        <v>81.504655461264079</v>
      </c>
      <c r="G10">
        <v>71.021260276184634</v>
      </c>
      <c r="H10">
        <v>61.190235209647142</v>
      </c>
    </row>
    <row r="11" spans="1:17">
      <c r="B11" t="s">
        <v>11</v>
      </c>
      <c r="C11">
        <v>98.092428711897739</v>
      </c>
      <c r="D11">
        <v>97.246804326450345</v>
      </c>
      <c r="E11">
        <v>97.423795476892835</v>
      </c>
      <c r="F11">
        <v>92.576204523107165</v>
      </c>
      <c r="G11">
        <v>87.976741436632963</v>
      </c>
      <c r="H11">
        <v>79.746566435119107</v>
      </c>
    </row>
    <row r="12" spans="1:17">
      <c r="B12" t="s">
        <v>14</v>
      </c>
      <c r="C12">
        <v>93.101364775358505</v>
      </c>
      <c r="D12">
        <v>91.326663725464755</v>
      </c>
      <c r="E12">
        <v>89.722561037148537</v>
      </c>
      <c r="F12">
        <v>83.857204647099039</v>
      </c>
      <c r="G12">
        <v>76.242949045118635</v>
      </c>
      <c r="H12">
        <v>60.402777417336367</v>
      </c>
    </row>
    <row r="14" spans="1:17">
      <c r="B14" t="s">
        <v>13</v>
      </c>
      <c r="C14">
        <f>_xlfn.STDEV.P(C2:C11)</f>
        <v>2.9725810488623901</v>
      </c>
      <c r="D14">
        <f t="shared" ref="D14:H14" si="0">_xlfn.STDEV.P(D2:D11)</f>
        <v>3.2823982353484333</v>
      </c>
      <c r="E14">
        <f t="shared" si="0"/>
        <v>3.7001759847620428</v>
      </c>
      <c r="F14">
        <f t="shared" si="0"/>
        <v>4.2542549470168698</v>
      </c>
      <c r="G14">
        <f t="shared" si="0"/>
        <v>6.4052966116267402</v>
      </c>
      <c r="H14">
        <f t="shared" si="0"/>
        <v>8.82847264423736</v>
      </c>
    </row>
    <row r="15" spans="1:17" ht="15" thickBot="1"/>
    <row r="16" spans="1:17" ht="15" thickBot="1">
      <c r="A16" s="1" t="s">
        <v>15</v>
      </c>
      <c r="B16" s="2" t="s">
        <v>1</v>
      </c>
      <c r="C16" s="3">
        <v>1</v>
      </c>
      <c r="D16" s="3">
        <v>0.75</v>
      </c>
      <c r="E16" s="3">
        <v>0.5</v>
      </c>
      <c r="F16" s="3">
        <v>0.3</v>
      </c>
      <c r="G16" s="3">
        <v>0.2</v>
      </c>
      <c r="H16" s="3">
        <v>0.1</v>
      </c>
      <c r="J16" s="1" t="s">
        <v>15</v>
      </c>
      <c r="K16" s="2" t="s">
        <v>1</v>
      </c>
      <c r="L16" s="3">
        <v>1</v>
      </c>
      <c r="M16" s="3">
        <v>0.75</v>
      </c>
      <c r="N16" s="3">
        <v>0.5</v>
      </c>
      <c r="O16" s="3">
        <v>0.3</v>
      </c>
      <c r="P16" s="3">
        <v>0.2</v>
      </c>
      <c r="Q16" s="3">
        <v>0.1</v>
      </c>
    </row>
    <row r="17" spans="1:17">
      <c r="B17" t="s">
        <v>2</v>
      </c>
      <c r="C17">
        <v>90.226155358898723</v>
      </c>
      <c r="D17">
        <v>90.776794493608648</v>
      </c>
      <c r="E17">
        <v>90.108161258603744</v>
      </c>
      <c r="F17">
        <v>85.752270060006296</v>
      </c>
      <c r="G17">
        <v>80.154643782962367</v>
      </c>
      <c r="H17">
        <v>56.433994527057614</v>
      </c>
      <c r="K17" t="s">
        <v>2</v>
      </c>
      <c r="L17">
        <f t="shared" ref="L17:L26" si="1">C17-C2</f>
        <v>-0.52114060963619124</v>
      </c>
      <c r="M17">
        <f t="shared" ref="M17:M26" si="2">D17-D2</f>
        <v>1.6715830875122748</v>
      </c>
      <c r="N17">
        <f t="shared" ref="N17:N26" si="3">E17-E2</f>
        <v>2.7039737944676574</v>
      </c>
      <c r="O17">
        <f t="shared" ref="O17:O26" si="4">F17-F2</f>
        <v>1.3171394216213059</v>
      </c>
      <c r="P17">
        <f t="shared" ref="P17:P26" si="5">G17-G2</f>
        <v>2.6352015732546761</v>
      </c>
      <c r="Q17">
        <f t="shared" ref="Q17:Q26" si="6">H17-H2</f>
        <v>-4.5264809095811032</v>
      </c>
    </row>
    <row r="18" spans="1:17">
      <c r="B18" t="s">
        <v>3</v>
      </c>
      <c r="C18">
        <v>94.650934119960652</v>
      </c>
      <c r="D18">
        <v>93.470993117010821</v>
      </c>
      <c r="E18">
        <v>90.80629301868241</v>
      </c>
      <c r="F18">
        <v>86.598240469208193</v>
      </c>
      <c r="G18">
        <v>76.259425542896849</v>
      </c>
      <c r="H18">
        <v>48.980210324772123</v>
      </c>
      <c r="K18" t="s">
        <v>3</v>
      </c>
      <c r="L18">
        <f t="shared" si="1"/>
        <v>1.1209439528023495</v>
      </c>
      <c r="M18">
        <f t="shared" si="2"/>
        <v>3.0284575702788601</v>
      </c>
      <c r="N18">
        <f t="shared" si="3"/>
        <v>0.84539370294439209</v>
      </c>
      <c r="O18">
        <f t="shared" si="4"/>
        <v>4.5809219802939367</v>
      </c>
      <c r="P18">
        <f t="shared" si="5"/>
        <v>7.7786140018512242</v>
      </c>
      <c r="Q18">
        <f t="shared" si="6"/>
        <v>3.1005458524727771</v>
      </c>
    </row>
    <row r="19" spans="1:17">
      <c r="B19" t="s">
        <v>4</v>
      </c>
      <c r="C19">
        <v>96.401179941002965</v>
      </c>
      <c r="D19">
        <v>95.358898721730569</v>
      </c>
      <c r="E19">
        <v>93.815142576204508</v>
      </c>
      <c r="F19">
        <v>91.929082431508917</v>
      </c>
      <c r="G19">
        <v>86.287338125762332</v>
      </c>
      <c r="H19">
        <v>66.790225982347025</v>
      </c>
      <c r="K19" t="s">
        <v>4</v>
      </c>
      <c r="L19">
        <f t="shared" si="1"/>
        <v>0.42281219272371118</v>
      </c>
      <c r="M19">
        <f t="shared" si="2"/>
        <v>0.48180924287117932</v>
      </c>
      <c r="N19">
        <f t="shared" si="3"/>
        <v>0.84522069106709807</v>
      </c>
      <c r="O19">
        <f t="shared" si="4"/>
        <v>4.614342107919029</v>
      </c>
      <c r="P19">
        <f t="shared" si="5"/>
        <v>2.7378264517859066</v>
      </c>
      <c r="Q19">
        <f t="shared" si="6"/>
        <v>-0.78120629647889928</v>
      </c>
    </row>
    <row r="20" spans="1:17">
      <c r="B20" t="s">
        <v>5</v>
      </c>
      <c r="C20">
        <v>94.316675173083965</v>
      </c>
      <c r="D20">
        <v>93.195673549655851</v>
      </c>
      <c r="E20">
        <v>91.720862637220037</v>
      </c>
      <c r="F20">
        <v>87.964601769911496</v>
      </c>
      <c r="G20">
        <v>82.638258116419692</v>
      </c>
      <c r="H20">
        <v>58.248687272381254</v>
      </c>
      <c r="K20" t="s">
        <v>5</v>
      </c>
      <c r="L20">
        <f t="shared" si="1"/>
        <v>9.7751710654847557E-3</v>
      </c>
      <c r="M20">
        <f t="shared" si="2"/>
        <v>0.61946902654868552</v>
      </c>
      <c r="N20">
        <f t="shared" si="3"/>
        <v>-0.76696165191739851</v>
      </c>
      <c r="O20">
        <f t="shared" si="4"/>
        <v>-1.4659584713823932</v>
      </c>
      <c r="P20">
        <f t="shared" si="5"/>
        <v>0.25695147305195576</v>
      </c>
      <c r="Q20">
        <f t="shared" si="6"/>
        <v>-6.9730130306778833</v>
      </c>
    </row>
    <row r="21" spans="1:17">
      <c r="B21" t="s">
        <v>6</v>
      </c>
      <c r="C21">
        <v>91.651975074755555</v>
      </c>
      <c r="D21">
        <v>89.292150739481599</v>
      </c>
      <c r="E21">
        <v>87.473132697226333</v>
      </c>
      <c r="F21">
        <v>81.577060931899638</v>
      </c>
      <c r="G21">
        <v>75.465589379377562</v>
      </c>
      <c r="H21">
        <v>58.404772820987496</v>
      </c>
      <c r="K21" t="s">
        <v>6</v>
      </c>
      <c r="L21">
        <f t="shared" si="1"/>
        <v>-0.85539955651287869</v>
      </c>
      <c r="M21">
        <f t="shared" si="2"/>
        <v>0.27503121422620325</v>
      </c>
      <c r="N21">
        <f t="shared" si="3"/>
        <v>1.7562147308079403</v>
      </c>
      <c r="O21">
        <f t="shared" si="4"/>
        <v>0.81237726969956725</v>
      </c>
      <c r="P21">
        <f t="shared" si="5"/>
        <v>3.5163798994800999</v>
      </c>
      <c r="Q21">
        <f t="shared" si="6"/>
        <v>5.3908482483989246</v>
      </c>
    </row>
    <row r="22" spans="1:17">
      <c r="B22" t="s">
        <v>7</v>
      </c>
      <c r="C22">
        <v>95.132801033457596</v>
      </c>
      <c r="D22">
        <v>93.510382154401555</v>
      </c>
      <c r="E22">
        <v>91.750822527299832</v>
      </c>
      <c r="F22">
        <v>86.136442933474044</v>
      </c>
      <c r="G22">
        <v>77.421171463420976</v>
      </c>
      <c r="H22">
        <v>64.234033166376875</v>
      </c>
      <c r="K22" t="s">
        <v>7</v>
      </c>
      <c r="L22">
        <f t="shared" si="1"/>
        <v>0.43264503441491797</v>
      </c>
      <c r="M22">
        <f t="shared" si="2"/>
        <v>0.2554808720951911</v>
      </c>
      <c r="N22">
        <f t="shared" si="3"/>
        <v>0.63913470993117016</v>
      </c>
      <c r="O22">
        <f t="shared" si="4"/>
        <v>5.9117293402191819</v>
      </c>
      <c r="P22">
        <f t="shared" si="5"/>
        <v>3.2227210731350198</v>
      </c>
      <c r="Q22">
        <f t="shared" si="6"/>
        <v>5.0045415617782183</v>
      </c>
    </row>
    <row r="23" spans="1:17">
      <c r="B23" t="s">
        <v>8</v>
      </c>
      <c r="C23">
        <v>91.268955613802902</v>
      </c>
      <c r="D23">
        <v>90.138294160560804</v>
      </c>
      <c r="E23">
        <v>87.932421560740138</v>
      </c>
      <c r="F23">
        <v>88.831852640017075</v>
      </c>
      <c r="G23">
        <v>84.293981781849325</v>
      </c>
      <c r="H23">
        <v>65.448317026963892</v>
      </c>
      <c r="K23" t="s">
        <v>8</v>
      </c>
      <c r="L23">
        <f t="shared" si="1"/>
        <v>-8.861091647273156E-2</v>
      </c>
      <c r="M23">
        <f t="shared" si="2"/>
        <v>0.16640859061642743</v>
      </c>
      <c r="N23">
        <f t="shared" si="3"/>
        <v>1.3906983047719592</v>
      </c>
      <c r="O23">
        <f t="shared" si="4"/>
        <v>7.5662995931337349</v>
      </c>
      <c r="P23">
        <f t="shared" si="5"/>
        <v>6.9097483542245186</v>
      </c>
      <c r="Q23">
        <f t="shared" si="6"/>
        <v>6.9424187637147767</v>
      </c>
    </row>
    <row r="24" spans="1:17">
      <c r="B24" t="s">
        <v>9</v>
      </c>
      <c r="C24">
        <v>93.490658800393305</v>
      </c>
      <c r="D24">
        <v>93.588987217305814</v>
      </c>
      <c r="E24">
        <v>91.514257620452327</v>
      </c>
      <c r="F24">
        <v>85.358898721730569</v>
      </c>
      <c r="G24">
        <v>74.735075562937382</v>
      </c>
      <c r="H24">
        <v>51.059149877305742</v>
      </c>
      <c r="K24" t="s">
        <v>9</v>
      </c>
      <c r="L24">
        <f t="shared" si="1"/>
        <v>0.31459326349418859</v>
      </c>
      <c r="M24">
        <f t="shared" si="2"/>
        <v>1.6912487708948163</v>
      </c>
      <c r="N24">
        <f t="shared" si="3"/>
        <v>2.605703048180942</v>
      </c>
      <c r="O24">
        <f t="shared" si="4"/>
        <v>6.3204122296328933</v>
      </c>
      <c r="P24">
        <f t="shared" si="5"/>
        <v>6.7665521904745276</v>
      </c>
      <c r="Q24">
        <f t="shared" si="6"/>
        <v>-1.6492357200321806</v>
      </c>
    </row>
    <row r="25" spans="1:17">
      <c r="B25" t="s">
        <v>10</v>
      </c>
      <c r="C25">
        <v>86.922320550639142</v>
      </c>
      <c r="D25">
        <v>86.735496558505403</v>
      </c>
      <c r="E25">
        <v>87.000983284169138</v>
      </c>
      <c r="F25">
        <v>83.716929500543543</v>
      </c>
      <c r="G25">
        <v>79.214151218147791</v>
      </c>
      <c r="H25">
        <v>62.076949915945058</v>
      </c>
      <c r="K25" t="s">
        <v>10</v>
      </c>
      <c r="L25">
        <f t="shared" si="1"/>
        <v>0.30481809242871805</v>
      </c>
      <c r="M25">
        <f t="shared" si="2"/>
        <v>1.8583494090202493</v>
      </c>
      <c r="N25">
        <f t="shared" si="3"/>
        <v>2.300884955752224</v>
      </c>
      <c r="O25">
        <f t="shared" si="4"/>
        <v>2.212274039279464</v>
      </c>
      <c r="P25">
        <f t="shared" si="5"/>
        <v>8.1928909419631566</v>
      </c>
      <c r="Q25">
        <f t="shared" si="6"/>
        <v>0.88671470629791571</v>
      </c>
    </row>
    <row r="26" spans="1:17">
      <c r="B26" t="s">
        <v>11</v>
      </c>
      <c r="C26">
        <v>97.817109144542769</v>
      </c>
      <c r="D26">
        <v>98.131760078662737</v>
      </c>
      <c r="E26">
        <v>98.180981957744734</v>
      </c>
      <c r="F26">
        <v>98.51524090462145</v>
      </c>
      <c r="G26">
        <v>97.395335023082666</v>
      </c>
      <c r="H26">
        <v>84.812671389890923</v>
      </c>
      <c r="K26" t="s">
        <v>11</v>
      </c>
      <c r="L26">
        <f t="shared" si="1"/>
        <v>-0.27531956735496976</v>
      </c>
      <c r="M26">
        <f t="shared" si="2"/>
        <v>0.88495575221239164</v>
      </c>
      <c r="N26">
        <f t="shared" si="3"/>
        <v>0.75718648085189955</v>
      </c>
      <c r="O26">
        <f t="shared" si="4"/>
        <v>5.9390363815142848</v>
      </c>
      <c r="P26">
        <f t="shared" si="5"/>
        <v>9.4185935864497026</v>
      </c>
      <c r="Q26">
        <f t="shared" si="6"/>
        <v>5.0661049547718164</v>
      </c>
    </row>
    <row r="27" spans="1:17">
      <c r="B27" t="s">
        <v>12</v>
      </c>
      <c r="C27">
        <v>93.187876481053749</v>
      </c>
      <c r="D27">
        <v>92.419943079092377</v>
      </c>
      <c r="E27">
        <v>91.030305913834326</v>
      </c>
      <c r="F27">
        <v>87.638062036292141</v>
      </c>
      <c r="G27">
        <v>81.386496999685704</v>
      </c>
      <c r="H27">
        <v>61.648901230402807</v>
      </c>
      <c r="K27" t="s">
        <v>12</v>
      </c>
      <c r="L27">
        <f>AVERAGE(L17:L26)</f>
        <v>8.6511705695259872E-2</v>
      </c>
      <c r="M27">
        <f t="shared" ref="M27:Q27" si="7">AVERAGE(M17:M26)</f>
        <v>1.093279353627628</v>
      </c>
      <c r="N27">
        <f t="shared" si="7"/>
        <v>1.3077448766857884</v>
      </c>
      <c r="O27">
        <f t="shared" si="7"/>
        <v>3.7808573891931005</v>
      </c>
      <c r="P27">
        <f t="shared" si="7"/>
        <v>5.1435479545670786</v>
      </c>
      <c r="Q27">
        <f t="shared" si="7"/>
        <v>1.2461238130664363</v>
      </c>
    </row>
    <row r="29" spans="1:17">
      <c r="B29" t="s">
        <v>13</v>
      </c>
      <c r="C29">
        <f>_xlfn.STDEV.P(C17:C26)</f>
        <v>3.0514665411075468</v>
      </c>
      <c r="D29">
        <f t="shared" ref="D29:H29" si="8">_xlfn.STDEV.P(D17:D26)</f>
        <v>3.090734143399458</v>
      </c>
      <c r="E29">
        <f t="shared" si="8"/>
        <v>3.1544262126139913</v>
      </c>
      <c r="F29">
        <f t="shared" si="8"/>
        <v>4.4995059810262727</v>
      </c>
      <c r="G29">
        <f t="shared" si="8"/>
        <v>6.4642654904129051</v>
      </c>
      <c r="H29">
        <f t="shared" si="8"/>
        <v>9.5195315032296399</v>
      </c>
      <c r="K29" t="s">
        <v>13</v>
      </c>
      <c r="L29">
        <f>_xlfn.STDEV.P(L17:L26)</f>
        <v>0.53165324310861528</v>
      </c>
      <c r="M29">
        <f t="shared" ref="M29:Q29" si="9">_xlfn.STDEV.P(M17:M26)</f>
        <v>0.88851369839695693</v>
      </c>
      <c r="N29">
        <f t="shared" si="9"/>
        <v>1.0154182791351967</v>
      </c>
      <c r="O29">
        <f t="shared" si="9"/>
        <v>2.7601335886475229</v>
      </c>
      <c r="P29">
        <f t="shared" si="9"/>
        <v>2.8734484850646616</v>
      </c>
      <c r="Q29">
        <f t="shared" si="9"/>
        <v>4.4190822876679583</v>
      </c>
    </row>
    <row r="30" spans="1:17">
      <c r="K30" t="s">
        <v>19</v>
      </c>
      <c r="L30">
        <f t="shared" ref="L30:Q30" si="10">_xlfn.T.TEST(C17:C26,C2:C11,1,1)</f>
        <v>0.31855244883330369</v>
      </c>
      <c r="M30">
        <f t="shared" si="10"/>
        <v>2.4933699723592813E-3</v>
      </c>
      <c r="N30">
        <f t="shared" si="10"/>
        <v>1.9127998426390514E-3</v>
      </c>
      <c r="O30">
        <f t="shared" si="10"/>
        <v>1.3196312545788746E-3</v>
      </c>
      <c r="P30">
        <f t="shared" si="10"/>
        <v>2.2515809747643926E-4</v>
      </c>
      <c r="Q30">
        <f t="shared" si="10"/>
        <v>0.20974864990327324</v>
      </c>
    </row>
    <row r="31" spans="1:17" ht="15" thickBot="1"/>
    <row r="32" spans="1:17" ht="15" thickBot="1">
      <c r="A32" s="1" t="s">
        <v>16</v>
      </c>
      <c r="B32" s="2" t="s">
        <v>1</v>
      </c>
      <c r="C32" s="3">
        <v>1</v>
      </c>
      <c r="D32" s="3">
        <v>0.75</v>
      </c>
      <c r="E32" s="3">
        <v>0.5</v>
      </c>
      <c r="F32" s="3">
        <v>0.3</v>
      </c>
      <c r="G32" s="3">
        <v>0.2</v>
      </c>
      <c r="H32" s="3">
        <v>0.1</v>
      </c>
      <c r="J32" s="1" t="s">
        <v>16</v>
      </c>
      <c r="K32" s="2" t="s">
        <v>1</v>
      </c>
      <c r="L32" s="3">
        <v>1</v>
      </c>
      <c r="M32" s="3">
        <v>0.75</v>
      </c>
      <c r="N32" s="3">
        <v>0.5</v>
      </c>
      <c r="O32" s="3">
        <v>0.3</v>
      </c>
      <c r="P32" s="3">
        <v>0.2</v>
      </c>
      <c r="Q32" s="3">
        <v>0.1</v>
      </c>
    </row>
    <row r="33" spans="1:17">
      <c r="B33" t="s">
        <v>2</v>
      </c>
      <c r="C33">
        <v>91.484759095378578</v>
      </c>
      <c r="D33">
        <v>90.3835961672102</v>
      </c>
      <c r="E33">
        <v>89.390421485768343</v>
      </c>
      <c r="F33">
        <v>88.329051289371023</v>
      </c>
      <c r="G33">
        <v>85.360398158000223</v>
      </c>
      <c r="H33">
        <v>59.848268583638259</v>
      </c>
      <c r="K33" t="s">
        <v>2</v>
      </c>
      <c r="L33">
        <f t="shared" ref="L33:L43" si="11">C33-C2</f>
        <v>0.73746312684366444</v>
      </c>
      <c r="M33">
        <f t="shared" ref="M33:M43" si="12">D33-D2</f>
        <v>1.278384761113827</v>
      </c>
      <c r="N33">
        <f t="shared" ref="N33:N43" si="13">E33-E2</f>
        <v>1.9862340216322565</v>
      </c>
      <c r="O33">
        <f t="shared" ref="O33:O43" si="14">F33-F2</f>
        <v>3.8939206509860327</v>
      </c>
      <c r="P33">
        <f t="shared" ref="P33:P43" si="15">G33-G2</f>
        <v>7.8409559482925317</v>
      </c>
      <c r="Q33">
        <f t="shared" ref="Q33:Q43" si="16">H33-H2</f>
        <v>-1.1122068530004583</v>
      </c>
    </row>
    <row r="34" spans="1:17">
      <c r="B34" t="s">
        <v>3</v>
      </c>
      <c r="C34">
        <v>94.837758112094392</v>
      </c>
      <c r="D34">
        <v>94.316617502458215</v>
      </c>
      <c r="E34">
        <v>94.355948869223212</v>
      </c>
      <c r="F34">
        <v>89.075770551648361</v>
      </c>
      <c r="G34">
        <v>79.481454568522793</v>
      </c>
      <c r="H34">
        <v>52.338976404063466</v>
      </c>
      <c r="K34" t="s">
        <v>3</v>
      </c>
      <c r="L34">
        <f t="shared" si="11"/>
        <v>1.3077679449360886</v>
      </c>
      <c r="M34">
        <f t="shared" si="12"/>
        <v>3.874081955726254</v>
      </c>
      <c r="N34">
        <f t="shared" si="13"/>
        <v>4.3950495534851939</v>
      </c>
      <c r="O34">
        <f t="shared" si="14"/>
        <v>7.058452062734105</v>
      </c>
      <c r="P34">
        <f t="shared" si="15"/>
        <v>11.000643027477167</v>
      </c>
      <c r="Q34">
        <f t="shared" si="16"/>
        <v>6.4593119317641197</v>
      </c>
    </row>
    <row r="35" spans="1:17">
      <c r="B35" t="s">
        <v>4</v>
      </c>
      <c r="C35">
        <v>96.204523107177977</v>
      </c>
      <c r="D35">
        <v>96.686332350049156</v>
      </c>
      <c r="E35">
        <v>95.880039331366774</v>
      </c>
      <c r="F35">
        <v>94.621435594886918</v>
      </c>
      <c r="G35">
        <v>89.723094490436779</v>
      </c>
      <c r="H35">
        <v>71.469649391430721</v>
      </c>
      <c r="K35" t="s">
        <v>4</v>
      </c>
      <c r="L35">
        <f t="shared" si="11"/>
        <v>0.22615535889872262</v>
      </c>
      <c r="M35">
        <f t="shared" si="12"/>
        <v>1.8092428711897668</v>
      </c>
      <c r="N35">
        <f t="shared" si="13"/>
        <v>2.9101174462293642</v>
      </c>
      <c r="O35">
        <f t="shared" si="14"/>
        <v>7.3066952712970306</v>
      </c>
      <c r="P35">
        <f t="shared" si="15"/>
        <v>6.1735828164603532</v>
      </c>
      <c r="Q35">
        <f t="shared" si="16"/>
        <v>3.8982171126047973</v>
      </c>
    </row>
    <row r="36" spans="1:17">
      <c r="B36" t="s">
        <v>5</v>
      </c>
      <c r="C36">
        <v>93.874139626352019</v>
      </c>
      <c r="D36">
        <v>93.805367405139023</v>
      </c>
      <c r="E36">
        <v>92.350049164208443</v>
      </c>
      <c r="F36">
        <v>89.301868239921347</v>
      </c>
      <c r="G36">
        <v>83.299999711646876</v>
      </c>
      <c r="H36">
        <v>59.79959457550094</v>
      </c>
      <c r="K36" t="s">
        <v>5</v>
      </c>
      <c r="L36">
        <f t="shared" si="11"/>
        <v>-0.43276037566646153</v>
      </c>
      <c r="M36">
        <f t="shared" si="12"/>
        <v>1.2291628820318579</v>
      </c>
      <c r="N36">
        <f t="shared" si="13"/>
        <v>-0.13777512492899291</v>
      </c>
      <c r="O36">
        <f t="shared" si="14"/>
        <v>-0.12869200137254211</v>
      </c>
      <c r="P36">
        <f t="shared" si="15"/>
        <v>0.91869306827913988</v>
      </c>
      <c r="Q36">
        <f t="shared" si="16"/>
        <v>-5.422105727558197</v>
      </c>
    </row>
    <row r="37" spans="1:17">
      <c r="B37" t="s">
        <v>6</v>
      </c>
      <c r="C37">
        <v>92.192781367774231</v>
      </c>
      <c r="D37">
        <v>91.465958471382393</v>
      </c>
      <c r="E37">
        <v>91.081670256663116</v>
      </c>
      <c r="F37">
        <v>85.10410989714444</v>
      </c>
      <c r="G37">
        <v>79.561616738322428</v>
      </c>
      <c r="H37">
        <v>57.277859958419477</v>
      </c>
      <c r="K37" t="s">
        <v>6</v>
      </c>
      <c r="L37">
        <f t="shared" si="11"/>
        <v>-0.3145932634942028</v>
      </c>
      <c r="M37">
        <f t="shared" si="12"/>
        <v>2.4488389461269975</v>
      </c>
      <c r="N37">
        <f t="shared" si="13"/>
        <v>5.3647522902447236</v>
      </c>
      <c r="O37">
        <f t="shared" si="14"/>
        <v>4.3394262349443693</v>
      </c>
      <c r="P37">
        <f t="shared" si="15"/>
        <v>7.612407258424966</v>
      </c>
      <c r="Q37">
        <f t="shared" si="16"/>
        <v>4.263935385830905</v>
      </c>
    </row>
    <row r="38" spans="1:17">
      <c r="B38" t="s">
        <v>7</v>
      </c>
      <c r="C38">
        <v>95.329400196656835</v>
      </c>
      <c r="D38">
        <v>95.083579154375613</v>
      </c>
      <c r="E38">
        <v>94.759441402318942</v>
      </c>
      <c r="F38">
        <v>90.718547161595964</v>
      </c>
      <c r="G38">
        <v>80.98576400603234</v>
      </c>
      <c r="H38">
        <v>65.204543291896996</v>
      </c>
      <c r="K38" t="s">
        <v>7</v>
      </c>
      <c r="L38">
        <f t="shared" si="11"/>
        <v>0.62924419761415606</v>
      </c>
      <c r="M38">
        <f t="shared" si="12"/>
        <v>1.8286778720692496</v>
      </c>
      <c r="N38">
        <f t="shared" si="13"/>
        <v>3.64775358495028</v>
      </c>
      <c r="O38">
        <f t="shared" si="14"/>
        <v>10.493833568341103</v>
      </c>
      <c r="P38">
        <f t="shared" si="15"/>
        <v>6.7873136157463847</v>
      </c>
      <c r="Q38">
        <f t="shared" si="16"/>
        <v>5.9750516872983397</v>
      </c>
    </row>
    <row r="39" spans="1:17">
      <c r="B39" t="s">
        <v>8</v>
      </c>
      <c r="C39">
        <v>92.005899705014755</v>
      </c>
      <c r="D39">
        <v>91.809358212441282</v>
      </c>
      <c r="E39">
        <v>90.836252908762205</v>
      </c>
      <c r="F39">
        <v>89.217178925999931</v>
      </c>
      <c r="G39">
        <v>85.225939094052137</v>
      </c>
      <c r="H39">
        <v>66.956086702018766</v>
      </c>
      <c r="K39" t="s">
        <v>8</v>
      </c>
      <c r="L39">
        <f t="shared" si="11"/>
        <v>0.64833317473912189</v>
      </c>
      <c r="M39">
        <f t="shared" si="12"/>
        <v>1.8374726424969055</v>
      </c>
      <c r="N39">
        <f t="shared" si="13"/>
        <v>4.2945296527940258</v>
      </c>
      <c r="O39">
        <f t="shared" si="14"/>
        <v>7.951625879116591</v>
      </c>
      <c r="P39">
        <f t="shared" si="15"/>
        <v>7.8417056664273304</v>
      </c>
      <c r="Q39">
        <f t="shared" si="16"/>
        <v>8.4501884387696506</v>
      </c>
    </row>
    <row r="40" spans="1:17">
      <c r="B40" t="s">
        <v>9</v>
      </c>
      <c r="C40">
        <v>93.883972468043268</v>
      </c>
      <c r="D40">
        <v>93.441494591937087</v>
      </c>
      <c r="E40">
        <v>92.232055063913478</v>
      </c>
      <c r="F40">
        <v>87.601767027973139</v>
      </c>
      <c r="G40">
        <v>81.224059031652516</v>
      </c>
      <c r="H40">
        <v>49.821826601729548</v>
      </c>
      <c r="K40" t="s">
        <v>9</v>
      </c>
      <c r="L40">
        <f t="shared" si="11"/>
        <v>0.70790693114415149</v>
      </c>
      <c r="M40">
        <f t="shared" si="12"/>
        <v>1.5437561455260891</v>
      </c>
      <c r="N40">
        <f t="shared" si="13"/>
        <v>3.3235004916420934</v>
      </c>
      <c r="O40">
        <f t="shared" si="14"/>
        <v>8.5632805358754638</v>
      </c>
      <c r="P40">
        <f t="shared" si="15"/>
        <v>13.255535659189661</v>
      </c>
      <c r="Q40">
        <f t="shared" si="16"/>
        <v>-2.8865589956083753</v>
      </c>
    </row>
    <row r="41" spans="1:17">
      <c r="B41" t="s">
        <v>10</v>
      </c>
      <c r="C41">
        <v>87.954768928220275</v>
      </c>
      <c r="D41">
        <v>87.040314650934121</v>
      </c>
      <c r="E41">
        <v>86.981375271412389</v>
      </c>
      <c r="F41">
        <v>83.38255521241534</v>
      </c>
      <c r="G41">
        <v>80.403809721537371</v>
      </c>
      <c r="H41">
        <v>66.47214364599462</v>
      </c>
      <c r="K41" t="s">
        <v>10</v>
      </c>
      <c r="L41">
        <f t="shared" si="11"/>
        <v>1.3372664700098511</v>
      </c>
      <c r="M41">
        <f t="shared" si="12"/>
        <v>2.1631675014489673</v>
      </c>
      <c r="N41">
        <f t="shared" si="13"/>
        <v>2.2812769429954756</v>
      </c>
      <c r="O41">
        <f t="shared" si="14"/>
        <v>1.8778997511512614</v>
      </c>
      <c r="P41">
        <f t="shared" si="15"/>
        <v>9.3825494453527369</v>
      </c>
      <c r="Q41">
        <f t="shared" si="16"/>
        <v>5.2819084363474786</v>
      </c>
    </row>
    <row r="42" spans="1:17">
      <c r="B42" t="s">
        <v>11</v>
      </c>
      <c r="C42">
        <v>98.171091445427734</v>
      </c>
      <c r="D42">
        <v>98.810226155358876</v>
      </c>
      <c r="E42">
        <v>98.829891838741389</v>
      </c>
      <c r="F42">
        <v>98.770894788593907</v>
      </c>
      <c r="G42">
        <v>97.985132512680323</v>
      </c>
      <c r="H42">
        <v>86.903779444458863</v>
      </c>
      <c r="K42" t="s">
        <v>11</v>
      </c>
      <c r="L42">
        <f t="shared" si="11"/>
        <v>7.8662733529995421E-2</v>
      </c>
      <c r="M42">
        <f t="shared" si="12"/>
        <v>1.5634218289085311</v>
      </c>
      <c r="N42">
        <f t="shared" si="13"/>
        <v>1.4060963618485545</v>
      </c>
      <c r="O42">
        <f t="shared" si="14"/>
        <v>6.1946902654867415</v>
      </c>
      <c r="P42">
        <f t="shared" si="15"/>
        <v>10.00839107604736</v>
      </c>
      <c r="Q42">
        <f t="shared" si="16"/>
        <v>7.1572130093397561</v>
      </c>
    </row>
    <row r="43" spans="1:17">
      <c r="B43" t="s">
        <v>12</v>
      </c>
      <c r="C43">
        <v>93.593909405213992</v>
      </c>
      <c r="D43">
        <v>93.284284466128597</v>
      </c>
      <c r="E43">
        <v>92.669714559237832</v>
      </c>
      <c r="F43">
        <v>89.612317868955046</v>
      </c>
      <c r="G43">
        <v>84.325126803288384</v>
      </c>
      <c r="H43">
        <v>63.609272859915166</v>
      </c>
      <c r="K43" t="s">
        <v>12</v>
      </c>
      <c r="L43">
        <f t="shared" si="11"/>
        <v>0.49254462985548741</v>
      </c>
      <c r="M43">
        <f t="shared" si="12"/>
        <v>1.9576207406638417</v>
      </c>
      <c r="N43">
        <f t="shared" si="13"/>
        <v>2.9471535220892946</v>
      </c>
      <c r="O43">
        <f t="shared" si="14"/>
        <v>5.755113221856007</v>
      </c>
      <c r="P43">
        <f t="shared" si="15"/>
        <v>8.0821777581697489</v>
      </c>
      <c r="Q43">
        <f t="shared" si="16"/>
        <v>3.2064954425787988</v>
      </c>
    </row>
    <row r="45" spans="1:17">
      <c r="B45" t="s">
        <v>13</v>
      </c>
      <c r="C45">
        <f>_xlfn.STDEV.P(C33:C42)</f>
        <v>2.7059380575718959</v>
      </c>
      <c r="D45">
        <f t="shared" ref="D45:H45" si="17">_xlfn.STDEV.P(D33:D42)</f>
        <v>3.1558239054298509</v>
      </c>
      <c r="E45">
        <f t="shared" si="17"/>
        <v>3.2365487595396636</v>
      </c>
      <c r="F45">
        <f t="shared" si="17"/>
        <v>4.1899630223375821</v>
      </c>
      <c r="G45">
        <f t="shared" si="17"/>
        <v>5.4860261389797769</v>
      </c>
      <c r="H45">
        <f t="shared" si="17"/>
        <v>10.060916875058966</v>
      </c>
      <c r="K45" t="s">
        <v>13</v>
      </c>
      <c r="L45">
        <f>_xlfn.STDEV.P(L33:L42)</f>
        <v>0.57248487090247679</v>
      </c>
      <c r="M45">
        <f t="shared" ref="M45:Q45" si="18">_xlfn.STDEV.P(M33:M42)</f>
        <v>0.72994076875770941</v>
      </c>
      <c r="N45">
        <f t="shared" si="18"/>
        <v>1.5378185248223091</v>
      </c>
      <c r="O45">
        <f t="shared" si="18"/>
        <v>3.0754743478019742</v>
      </c>
      <c r="P45">
        <f t="shared" si="18"/>
        <v>3.1249632891130505</v>
      </c>
      <c r="Q45">
        <f t="shared" si="18"/>
        <v>4.4439111329775942</v>
      </c>
    </row>
    <row r="46" spans="1:17">
      <c r="K46" t="s">
        <v>19</v>
      </c>
      <c r="L46">
        <f t="shared" ref="L46:Q46" si="19">_xlfn.T.TEST(C33:C42,C2:C11,1,1)</f>
        <v>1.4821831304077205E-2</v>
      </c>
      <c r="M46">
        <f t="shared" si="19"/>
        <v>1.0575041820622697E-5</v>
      </c>
      <c r="N46">
        <f t="shared" si="19"/>
        <v>1.3826100651583554E-4</v>
      </c>
      <c r="O46">
        <f t="shared" si="19"/>
        <v>1.6419531790543216E-4</v>
      </c>
      <c r="P46">
        <f t="shared" si="19"/>
        <v>1.4119536718045495E-5</v>
      </c>
      <c r="Q46">
        <f t="shared" si="19"/>
        <v>2.9311272291148781E-2</v>
      </c>
    </row>
    <row r="47" spans="1:17" ht="15" thickBot="1"/>
    <row r="48" spans="1:17" ht="15" thickBot="1">
      <c r="A48" s="1" t="s">
        <v>17</v>
      </c>
      <c r="B48" s="2" t="s">
        <v>1</v>
      </c>
      <c r="C48" s="3">
        <v>1</v>
      </c>
      <c r="D48" s="3">
        <v>0.75</v>
      </c>
      <c r="E48" s="3">
        <v>0.5</v>
      </c>
      <c r="F48" s="3">
        <v>0.3</v>
      </c>
      <c r="G48" s="3">
        <v>0.2</v>
      </c>
      <c r="H48" s="3">
        <v>0.1</v>
      </c>
      <c r="J48" s="1" t="s">
        <v>17</v>
      </c>
      <c r="K48" s="2" t="s">
        <v>1</v>
      </c>
      <c r="L48" s="3">
        <v>1</v>
      </c>
      <c r="M48" s="3">
        <v>0.75</v>
      </c>
      <c r="N48" s="3">
        <v>0.5</v>
      </c>
      <c r="O48" s="3">
        <v>0.3</v>
      </c>
      <c r="P48" s="3">
        <v>0.2</v>
      </c>
      <c r="Q48" s="3">
        <v>0.1</v>
      </c>
    </row>
    <row r="49" spans="1:17">
      <c r="B49" t="s">
        <v>2</v>
      </c>
      <c r="C49">
        <v>91.003007523133135</v>
      </c>
      <c r="D49">
        <v>90.245821042281207</v>
      </c>
      <c r="E49">
        <v>88.652900688298928</v>
      </c>
      <c r="F49">
        <v>87.581409297081578</v>
      </c>
      <c r="G49">
        <v>85.086116661908832</v>
      </c>
      <c r="H49">
        <v>58.133115338367979</v>
      </c>
      <c r="K49" t="s">
        <v>2</v>
      </c>
      <c r="L49">
        <f t="shared" ref="L49:L59" si="20">C49-C2</f>
        <v>0.25571155459822137</v>
      </c>
      <c r="M49">
        <f t="shared" ref="M49:M59" si="21">D49-D2</f>
        <v>1.1406096361848341</v>
      </c>
      <c r="N49">
        <f t="shared" ref="N49:N59" si="22">E49-E2</f>
        <v>1.2487132241628416</v>
      </c>
      <c r="O49">
        <f t="shared" ref="O49:O59" si="23">F49-F2</f>
        <v>3.1462786586965876</v>
      </c>
      <c r="P49">
        <f t="shared" ref="P49:P59" si="24">G49-G2</f>
        <v>7.5666744522011413</v>
      </c>
      <c r="Q49">
        <f t="shared" ref="Q49:Q59" si="25">H49-H2</f>
        <v>-2.8273600982707379</v>
      </c>
    </row>
    <row r="50" spans="1:17">
      <c r="B50" t="s">
        <v>3</v>
      </c>
      <c r="C50">
        <v>94.090462143559478</v>
      </c>
      <c r="D50">
        <v>94.011799410029496</v>
      </c>
      <c r="E50">
        <v>92.831916077705401</v>
      </c>
      <c r="F50">
        <v>90.403434862469979</v>
      </c>
      <c r="G50">
        <v>78.486261415179484</v>
      </c>
      <c r="H50">
        <v>47.512319887426933</v>
      </c>
      <c r="K50" t="s">
        <v>3</v>
      </c>
      <c r="L50">
        <f t="shared" si="20"/>
        <v>0.56047197640117474</v>
      </c>
      <c r="M50">
        <f t="shared" si="21"/>
        <v>3.569263863297536</v>
      </c>
      <c r="N50">
        <f t="shared" si="22"/>
        <v>2.8710167619673825</v>
      </c>
      <c r="O50">
        <f t="shared" si="23"/>
        <v>8.3861163735557227</v>
      </c>
      <c r="P50">
        <f t="shared" si="24"/>
        <v>10.005449874133859</v>
      </c>
      <c r="Q50">
        <f t="shared" si="25"/>
        <v>1.6326554151275872</v>
      </c>
    </row>
    <row r="51" spans="1:17">
      <c r="B51" t="s">
        <v>4</v>
      </c>
      <c r="C51">
        <v>95.280235988200573</v>
      </c>
      <c r="D51">
        <v>96.037364798426736</v>
      </c>
      <c r="E51">
        <v>95.958702064896741</v>
      </c>
      <c r="F51">
        <v>95.417895771878079</v>
      </c>
      <c r="G51">
        <v>90.085583208620605</v>
      </c>
      <c r="H51">
        <v>64.900417246977341</v>
      </c>
      <c r="K51" t="s">
        <v>4</v>
      </c>
      <c r="L51">
        <f t="shared" si="20"/>
        <v>-0.69813176007868094</v>
      </c>
      <c r="M51">
        <f t="shared" si="21"/>
        <v>1.1602753195673472</v>
      </c>
      <c r="N51">
        <f t="shared" si="22"/>
        <v>2.9887801797593312</v>
      </c>
      <c r="O51">
        <f t="shared" si="23"/>
        <v>8.1031554482881916</v>
      </c>
      <c r="P51">
        <f t="shared" si="24"/>
        <v>6.5360715346441793</v>
      </c>
      <c r="Q51">
        <f t="shared" si="25"/>
        <v>-2.671015031848583</v>
      </c>
    </row>
    <row r="52" spans="1:17">
      <c r="B52" t="s">
        <v>5</v>
      </c>
      <c r="C52">
        <v>93.992133726647012</v>
      </c>
      <c r="D52">
        <v>93.510439825027319</v>
      </c>
      <c r="E52">
        <v>93.146624682451105</v>
      </c>
      <c r="F52">
        <v>91.909416748126432</v>
      </c>
      <c r="G52">
        <v>85.475998927326373</v>
      </c>
      <c r="H52">
        <v>59.233932242781812</v>
      </c>
      <c r="K52" t="s">
        <v>5</v>
      </c>
      <c r="L52">
        <f t="shared" si="20"/>
        <v>-0.3147662753714684</v>
      </c>
      <c r="M52">
        <f t="shared" si="21"/>
        <v>0.93423530192015392</v>
      </c>
      <c r="N52">
        <f t="shared" si="22"/>
        <v>0.65880039331366902</v>
      </c>
      <c r="O52">
        <f t="shared" si="23"/>
        <v>2.4788565068325426</v>
      </c>
      <c r="P52">
        <f t="shared" si="24"/>
        <v>3.0946922839586364</v>
      </c>
      <c r="Q52">
        <f t="shared" si="25"/>
        <v>-5.9877680602773253</v>
      </c>
    </row>
    <row r="53" spans="1:17">
      <c r="B53" t="s">
        <v>6</v>
      </c>
      <c r="C53">
        <v>92.21244705115673</v>
      </c>
      <c r="D53">
        <v>93.058071436604109</v>
      </c>
      <c r="E53">
        <v>91.691364112146303</v>
      </c>
      <c r="F53">
        <v>89.932438861927878</v>
      </c>
      <c r="G53">
        <v>83.602626320296892</v>
      </c>
      <c r="H53">
        <v>51.627955259128534</v>
      </c>
      <c r="K53" t="s">
        <v>6</v>
      </c>
      <c r="L53">
        <f t="shared" si="20"/>
        <v>-0.29492758011170395</v>
      </c>
      <c r="M53">
        <f t="shared" si="21"/>
        <v>4.0409519113487136</v>
      </c>
      <c r="N53">
        <f t="shared" si="22"/>
        <v>5.9744461457279101</v>
      </c>
      <c r="O53">
        <f t="shared" si="23"/>
        <v>9.1677551997278073</v>
      </c>
      <c r="P53">
        <f t="shared" si="24"/>
        <v>11.65341684039943</v>
      </c>
      <c r="Q53">
        <f t="shared" si="25"/>
        <v>-1.3859693134600377</v>
      </c>
    </row>
    <row r="54" spans="1:17">
      <c r="B54" t="s">
        <v>7</v>
      </c>
      <c r="C54">
        <v>94.95575221238937</v>
      </c>
      <c r="D54">
        <v>95.04436312886213</v>
      </c>
      <c r="E54">
        <v>95.093527337318392</v>
      </c>
      <c r="F54">
        <v>94.524029907986517</v>
      </c>
      <c r="G54">
        <v>89.683763123671781</v>
      </c>
      <c r="H54">
        <v>60.966992217349059</v>
      </c>
      <c r="K54" t="s">
        <v>7</v>
      </c>
      <c r="L54">
        <f t="shared" si="20"/>
        <v>0.25559621334669202</v>
      </c>
      <c r="M54">
        <f t="shared" si="21"/>
        <v>1.789461846555767</v>
      </c>
      <c r="N54">
        <f t="shared" si="22"/>
        <v>3.9818395199497303</v>
      </c>
      <c r="O54">
        <f t="shared" si="23"/>
        <v>14.299316314731655</v>
      </c>
      <c r="P54">
        <f t="shared" si="24"/>
        <v>15.485312733385825</v>
      </c>
      <c r="Q54">
        <f t="shared" si="25"/>
        <v>1.7375006127504022</v>
      </c>
    </row>
    <row r="55" spans="1:17">
      <c r="B55" t="s">
        <v>8</v>
      </c>
      <c r="C55">
        <v>92.291109784686725</v>
      </c>
      <c r="D55">
        <v>91.907628958728012</v>
      </c>
      <c r="E55">
        <v>91.329682782723054</v>
      </c>
      <c r="F55">
        <v>88.495834739054843</v>
      </c>
      <c r="G55">
        <v>84.890353722783075</v>
      </c>
      <c r="H55">
        <v>63.606634428786869</v>
      </c>
      <c r="K55" t="s">
        <v>8</v>
      </c>
      <c r="L55">
        <f t="shared" si="20"/>
        <v>0.93354325441109154</v>
      </c>
      <c r="M55">
        <f t="shared" si="21"/>
        <v>1.9357433887836351</v>
      </c>
      <c r="N55">
        <f t="shared" si="22"/>
        <v>4.7879595267548751</v>
      </c>
      <c r="O55">
        <f t="shared" si="23"/>
        <v>7.2302816921715021</v>
      </c>
      <c r="P55">
        <f t="shared" si="24"/>
        <v>7.5061202951582686</v>
      </c>
      <c r="Q55">
        <f t="shared" si="25"/>
        <v>5.1007361655377537</v>
      </c>
    </row>
    <row r="56" spans="1:17">
      <c r="B56" t="s">
        <v>9</v>
      </c>
      <c r="C56">
        <v>94.021632251720746</v>
      </c>
      <c r="D56">
        <v>93.235062587046585</v>
      </c>
      <c r="E56">
        <v>92.261553588987226</v>
      </c>
      <c r="F56">
        <v>91.465093411996065</v>
      </c>
      <c r="G56">
        <v>84.379305472654039</v>
      </c>
      <c r="H56">
        <v>52.378653794583009</v>
      </c>
      <c r="K56" t="s">
        <v>9</v>
      </c>
      <c r="L56">
        <f t="shared" si="20"/>
        <v>0.84556671482162926</v>
      </c>
      <c r="M56">
        <f t="shared" si="21"/>
        <v>1.3373241406355874</v>
      </c>
      <c r="N56">
        <f t="shared" si="22"/>
        <v>3.3529990167158417</v>
      </c>
      <c r="O56">
        <f t="shared" si="23"/>
        <v>12.42660691989839</v>
      </c>
      <c r="P56">
        <f t="shared" si="24"/>
        <v>16.410782100191184</v>
      </c>
      <c r="Q56">
        <f t="shared" si="25"/>
        <v>-0.32973180275491387</v>
      </c>
    </row>
    <row r="57" spans="1:17">
      <c r="B57" t="s">
        <v>10</v>
      </c>
      <c r="C57">
        <v>87.109144542772853</v>
      </c>
      <c r="D57">
        <v>86.676499508357907</v>
      </c>
      <c r="E57">
        <v>87.040314650934121</v>
      </c>
      <c r="F57">
        <v>85.683382497541785</v>
      </c>
      <c r="G57">
        <v>81.021663970564916</v>
      </c>
      <c r="H57">
        <v>61.772593188522393</v>
      </c>
      <c r="K57" t="s">
        <v>10</v>
      </c>
      <c r="L57">
        <f t="shared" si="20"/>
        <v>0.49164208456242875</v>
      </c>
      <c r="M57">
        <f t="shared" si="21"/>
        <v>1.7993523588727527</v>
      </c>
      <c r="N57">
        <f t="shared" si="22"/>
        <v>2.3402163225172075</v>
      </c>
      <c r="O57">
        <f t="shared" si="23"/>
        <v>4.1787270362777065</v>
      </c>
      <c r="P57">
        <f t="shared" si="24"/>
        <v>10.000403694380282</v>
      </c>
      <c r="Q57">
        <f t="shared" si="25"/>
        <v>0.58235797887525109</v>
      </c>
    </row>
    <row r="58" spans="1:17">
      <c r="B58" t="s">
        <v>11</v>
      </c>
      <c r="C58">
        <v>97.758112094395301</v>
      </c>
      <c r="D58">
        <v>97.866273352999016</v>
      </c>
      <c r="E58">
        <v>98.07276302851524</v>
      </c>
      <c r="F58">
        <v>98.544739429695184</v>
      </c>
      <c r="G58">
        <v>98.289316228225744</v>
      </c>
      <c r="H58">
        <v>81.258373053976825</v>
      </c>
      <c r="K58" t="s">
        <v>11</v>
      </c>
      <c r="L58">
        <f t="shared" si="20"/>
        <v>-0.33431661750243791</v>
      </c>
      <c r="M58">
        <f t="shared" si="21"/>
        <v>0.61946902654867131</v>
      </c>
      <c r="N58">
        <f t="shared" si="22"/>
        <v>0.64896755162240538</v>
      </c>
      <c r="O58">
        <f t="shared" si="23"/>
        <v>5.9685349065880189</v>
      </c>
      <c r="P58">
        <f t="shared" si="24"/>
        <v>10.31257479159278</v>
      </c>
      <c r="Q58">
        <f t="shared" si="25"/>
        <v>1.5118066188577188</v>
      </c>
    </row>
    <row r="59" spans="1:17">
      <c r="B59" t="s">
        <v>12</v>
      </c>
      <c r="C59">
        <v>93.271403731866187</v>
      </c>
      <c r="D59">
        <v>93.159332404836249</v>
      </c>
      <c r="E59">
        <v>92.607934901397641</v>
      </c>
      <c r="F59">
        <v>91.395767552775837</v>
      </c>
      <c r="G59">
        <v>86.100098905123161</v>
      </c>
      <c r="H59">
        <v>60.139098665790073</v>
      </c>
      <c r="K59" t="s">
        <v>12</v>
      </c>
      <c r="L59">
        <f t="shared" si="20"/>
        <v>0.17003895650768186</v>
      </c>
      <c r="M59">
        <f t="shared" si="21"/>
        <v>1.8326686793714941</v>
      </c>
      <c r="N59">
        <f t="shared" si="22"/>
        <v>2.8853738642491038</v>
      </c>
      <c r="O59">
        <f t="shared" si="23"/>
        <v>7.5385629056767982</v>
      </c>
      <c r="P59">
        <f t="shared" si="24"/>
        <v>9.857149860004526</v>
      </c>
      <c r="Q59">
        <f t="shared" si="25"/>
        <v>-0.26367875154629417</v>
      </c>
    </row>
    <row r="61" spans="1:17">
      <c r="C61">
        <f>_xlfn.STDEV.P(C49:C58)</f>
        <v>2.719514021940685</v>
      </c>
      <c r="D61">
        <f t="shared" ref="D61:H61" si="26">_xlfn.STDEV.P(D49:D58)</f>
        <v>2.9485606993685711</v>
      </c>
      <c r="E61">
        <f t="shared" si="26"/>
        <v>3.1119963437048317</v>
      </c>
      <c r="F61">
        <f t="shared" si="26"/>
        <v>3.6885812789390995</v>
      </c>
      <c r="G61">
        <f t="shared" si="26"/>
        <v>5.2263220293968713</v>
      </c>
      <c r="H61">
        <f t="shared" si="26"/>
        <v>8.8375014910324641</v>
      </c>
      <c r="L61">
        <f>_xlfn.STDEV.P(L49:L58)</f>
        <v>0.52622503262721887</v>
      </c>
      <c r="M61">
        <f t="shared" ref="M61:Q61" si="27">_xlfn.STDEV.P(M49:M58)</f>
        <v>1.0658958467762922</v>
      </c>
      <c r="N61">
        <f t="shared" si="27"/>
        <v>1.6591867401212514</v>
      </c>
      <c r="O61">
        <f t="shared" si="27"/>
        <v>3.6336407656329408</v>
      </c>
      <c r="P61">
        <f t="shared" si="27"/>
        <v>3.8162393226431286</v>
      </c>
      <c r="Q61">
        <f t="shared" si="27"/>
        <v>2.9435132666835835</v>
      </c>
    </row>
    <row r="62" spans="1:17" ht="15" thickBot="1"/>
    <row r="63" spans="1:17" ht="15" thickBot="1">
      <c r="A63" s="1" t="s">
        <v>18</v>
      </c>
      <c r="B63" s="2" t="s">
        <v>1</v>
      </c>
      <c r="C63" s="3">
        <v>1</v>
      </c>
      <c r="D63" s="3">
        <v>0.75</v>
      </c>
      <c r="E63" s="3">
        <v>0.5</v>
      </c>
      <c r="F63" s="3">
        <v>0.3</v>
      </c>
      <c r="G63" s="3">
        <v>0.2</v>
      </c>
      <c r="H63" s="3">
        <v>0.1</v>
      </c>
      <c r="J63" s="1" t="s">
        <v>18</v>
      </c>
      <c r="K63" s="2" t="s">
        <v>1</v>
      </c>
      <c r="L63" s="3">
        <v>1</v>
      </c>
      <c r="M63" s="3">
        <v>0.75</v>
      </c>
      <c r="N63" s="3">
        <v>0.5</v>
      </c>
      <c r="O63" s="3">
        <v>0.3</v>
      </c>
      <c r="P63" s="3">
        <v>0.2</v>
      </c>
      <c r="Q63" s="3">
        <v>0.1</v>
      </c>
    </row>
    <row r="64" spans="1:17">
      <c r="B64" t="s">
        <v>2</v>
      </c>
      <c r="C64">
        <v>91.052114060963618</v>
      </c>
      <c r="D64">
        <v>90.138121148683538</v>
      </c>
      <c r="E64">
        <v>89.115044247787594</v>
      </c>
      <c r="F64">
        <v>88.515240904621422</v>
      </c>
      <c r="G64">
        <v>84.082993797524196</v>
      </c>
      <c r="H64">
        <v>60.991473397982105</v>
      </c>
      <c r="K64" t="s">
        <v>2</v>
      </c>
      <c r="L64">
        <f t="shared" ref="L64:L74" si="28">C64-C2</f>
        <v>0.30481809242870384</v>
      </c>
      <c r="M64">
        <f t="shared" ref="M64:M74" si="29">D64-D2</f>
        <v>1.0329097425871652</v>
      </c>
      <c r="N64">
        <f t="shared" ref="N64:N74" si="30">E64-E2</f>
        <v>1.7108567836515078</v>
      </c>
      <c r="O64">
        <f t="shared" ref="O64:O74" si="31">F64-F2</f>
        <v>4.0801102662364315</v>
      </c>
      <c r="P64">
        <f t="shared" ref="P64:P74" si="32">G64-G2</f>
        <v>6.5635515878165052</v>
      </c>
      <c r="Q64">
        <f t="shared" ref="Q64:Q74" si="33">H64-H2</f>
        <v>3.099796134338817E-2</v>
      </c>
    </row>
    <row r="65" spans="2:17">
      <c r="B65" t="s">
        <v>3</v>
      </c>
      <c r="C65">
        <v>94.621435594886918</v>
      </c>
      <c r="D65">
        <v>93.942969518190765</v>
      </c>
      <c r="E65">
        <v>92.291109784686725</v>
      </c>
      <c r="F65">
        <v>89.537856440511305</v>
      </c>
      <c r="G65">
        <v>80.810964339368567</v>
      </c>
      <c r="H65">
        <v>51.519044282389984</v>
      </c>
      <c r="K65" t="s">
        <v>3</v>
      </c>
      <c r="L65">
        <f t="shared" si="28"/>
        <v>1.0914454277286154</v>
      </c>
      <c r="M65">
        <f t="shared" si="29"/>
        <v>3.5004339714588042</v>
      </c>
      <c r="N65">
        <f t="shared" si="30"/>
        <v>2.3302104689487066</v>
      </c>
      <c r="O65">
        <f t="shared" si="31"/>
        <v>7.5205379515970492</v>
      </c>
      <c r="P65">
        <f t="shared" si="32"/>
        <v>12.330152798322942</v>
      </c>
      <c r="Q65">
        <f t="shared" si="33"/>
        <v>5.639379810090638</v>
      </c>
    </row>
    <row r="66" spans="2:17">
      <c r="B66" t="s">
        <v>4</v>
      </c>
      <c r="C66">
        <v>96.135693215339231</v>
      </c>
      <c r="D66">
        <v>96.076696165191734</v>
      </c>
      <c r="E66">
        <v>95.663716814159287</v>
      </c>
      <c r="F66">
        <v>94.228121927236955</v>
      </c>
      <c r="G66">
        <v>90.240832533153409</v>
      </c>
      <c r="H66">
        <v>73.164646752999587</v>
      </c>
      <c r="K66" t="s">
        <v>4</v>
      </c>
      <c r="L66">
        <f t="shared" si="28"/>
        <v>0.15732546705997663</v>
      </c>
      <c r="M66">
        <f t="shared" si="29"/>
        <v>1.1996066863323449</v>
      </c>
      <c r="N66">
        <f t="shared" si="30"/>
        <v>2.6937949290218768</v>
      </c>
      <c r="O66">
        <f t="shared" si="31"/>
        <v>6.9133816036470677</v>
      </c>
      <c r="P66">
        <f t="shared" si="32"/>
        <v>6.691320859176983</v>
      </c>
      <c r="Q66">
        <f t="shared" si="33"/>
        <v>5.5932144741736636</v>
      </c>
    </row>
    <row r="67" spans="2:17">
      <c r="B67" t="s">
        <v>5</v>
      </c>
      <c r="C67">
        <v>94.159292035398224</v>
      </c>
      <c r="D67">
        <v>93.657817109144545</v>
      </c>
      <c r="E67">
        <v>92.635259243880412</v>
      </c>
      <c r="F67">
        <v>88.800393313667655</v>
      </c>
      <c r="G67">
        <v>83.849197080712926</v>
      </c>
      <c r="H67">
        <v>61.49496679613722</v>
      </c>
      <c r="K67" t="s">
        <v>5</v>
      </c>
      <c r="L67">
        <f t="shared" si="28"/>
        <v>-0.14760796662025655</v>
      </c>
      <c r="M67">
        <f t="shared" si="29"/>
        <v>1.0816125860373802</v>
      </c>
      <c r="N67">
        <f t="shared" si="30"/>
        <v>0.14743495474297674</v>
      </c>
      <c r="O67">
        <f t="shared" si="31"/>
        <v>-0.6301669276262345</v>
      </c>
      <c r="P67">
        <f t="shared" si="32"/>
        <v>1.46789043734519</v>
      </c>
      <c r="Q67">
        <f t="shared" si="33"/>
        <v>-3.7267335069219172</v>
      </c>
    </row>
    <row r="68" spans="2:17">
      <c r="B68" t="s">
        <v>6</v>
      </c>
      <c r="C68">
        <v>92.910636481861161</v>
      </c>
      <c r="D68">
        <v>92.104343463178751</v>
      </c>
      <c r="E68">
        <v>89.666144747503594</v>
      </c>
      <c r="F68">
        <v>83.925379977335453</v>
      </c>
      <c r="G68">
        <v>78.480061822910798</v>
      </c>
      <c r="H68">
        <v>57.79461760049827</v>
      </c>
      <c r="K68" t="s">
        <v>6</v>
      </c>
      <c r="L68">
        <f t="shared" si="28"/>
        <v>0.40326185059272746</v>
      </c>
      <c r="M68">
        <f t="shared" si="29"/>
        <v>3.0872239379233548</v>
      </c>
      <c r="N68">
        <f t="shared" si="30"/>
        <v>3.9492267810852013</v>
      </c>
      <c r="O68">
        <f t="shared" si="31"/>
        <v>3.1606963151353824</v>
      </c>
      <c r="P68">
        <f t="shared" si="32"/>
        <v>6.5308523430133363</v>
      </c>
      <c r="Q68">
        <f t="shared" si="33"/>
        <v>4.7806930279096989</v>
      </c>
    </row>
    <row r="69" spans="2:17">
      <c r="B69" t="s">
        <v>7</v>
      </c>
      <c r="C69">
        <v>95.821042281219263</v>
      </c>
      <c r="D69">
        <v>95.23107177974434</v>
      </c>
      <c r="E69">
        <v>94.621781618641464</v>
      </c>
      <c r="F69">
        <v>89.499793827512917</v>
      </c>
      <c r="G69">
        <v>80.993030504877495</v>
      </c>
      <c r="H69">
        <v>64.067941764202118</v>
      </c>
      <c r="K69" t="s">
        <v>7</v>
      </c>
      <c r="L69">
        <f t="shared" si="28"/>
        <v>1.1208862821765848</v>
      </c>
      <c r="M69">
        <f t="shared" si="29"/>
        <v>1.9761704974379768</v>
      </c>
      <c r="N69">
        <f t="shared" si="30"/>
        <v>3.5100938012728022</v>
      </c>
      <c r="O69">
        <f t="shared" si="31"/>
        <v>9.2750802342580556</v>
      </c>
      <c r="P69">
        <f t="shared" si="32"/>
        <v>6.7945801145915397</v>
      </c>
      <c r="Q69">
        <f t="shared" si="33"/>
        <v>4.838450159603461</v>
      </c>
    </row>
    <row r="70" spans="2:17">
      <c r="B70" t="s">
        <v>8</v>
      </c>
      <c r="C70">
        <v>93.245068440615114</v>
      </c>
      <c r="D70">
        <v>86.984201132074375</v>
      </c>
      <c r="E70">
        <v>91.104738506965148</v>
      </c>
      <c r="F70">
        <v>87.340749775805435</v>
      </c>
      <c r="G70">
        <v>87.510013062396737</v>
      </c>
      <c r="H70">
        <v>67.480024337004068</v>
      </c>
      <c r="K70" t="s">
        <v>8</v>
      </c>
      <c r="L70">
        <f t="shared" si="28"/>
        <v>1.8875019103394806</v>
      </c>
      <c r="M70">
        <f t="shared" si="29"/>
        <v>-2.9876844378700014</v>
      </c>
      <c r="N70">
        <f t="shared" si="30"/>
        <v>4.563015250996969</v>
      </c>
      <c r="O70">
        <f t="shared" si="31"/>
        <v>6.0751967289220943</v>
      </c>
      <c r="P70">
        <f t="shared" si="32"/>
        <v>10.125779634771931</v>
      </c>
      <c r="Q70">
        <f t="shared" si="33"/>
        <v>8.9741260737549524</v>
      </c>
    </row>
    <row r="71" spans="2:17">
      <c r="B71" t="s">
        <v>9</v>
      </c>
      <c r="C71">
        <v>93.343166175024578</v>
      </c>
      <c r="D71">
        <v>92.890855457227147</v>
      </c>
      <c r="E71">
        <v>90.442477876106196</v>
      </c>
      <c r="F71">
        <v>88.407079646017721</v>
      </c>
      <c r="G71">
        <v>81.813568168121392</v>
      </c>
      <c r="H71">
        <v>51.698688281617194</v>
      </c>
      <c r="K71" t="s">
        <v>9</v>
      </c>
      <c r="L71">
        <f t="shared" si="28"/>
        <v>0.16710063812546139</v>
      </c>
      <c r="M71">
        <f t="shared" si="29"/>
        <v>0.99311701081614956</v>
      </c>
      <c r="N71">
        <f t="shared" si="30"/>
        <v>1.5339233038348112</v>
      </c>
      <c r="O71">
        <f t="shared" si="31"/>
        <v>9.3685931539200453</v>
      </c>
      <c r="P71">
        <f t="shared" si="32"/>
        <v>13.845044795658538</v>
      </c>
      <c r="Q71">
        <f t="shared" si="33"/>
        <v>-1.0096973157207287</v>
      </c>
    </row>
    <row r="72" spans="2:17">
      <c r="B72" t="s">
        <v>10</v>
      </c>
      <c r="C72">
        <v>86.784660766961636</v>
      </c>
      <c r="D72">
        <v>87.413962635201571</v>
      </c>
      <c r="E72">
        <v>86.578171091445441</v>
      </c>
      <c r="F72">
        <v>84.287118977384452</v>
      </c>
      <c r="G72">
        <v>79.890944846697053</v>
      </c>
      <c r="H72">
        <v>68.39799652246127</v>
      </c>
      <c r="K72" t="s">
        <v>10</v>
      </c>
      <c r="L72">
        <f t="shared" si="28"/>
        <v>0.16715830875121185</v>
      </c>
      <c r="M72">
        <f t="shared" si="29"/>
        <v>2.5368154857164171</v>
      </c>
      <c r="N72">
        <f t="shared" si="30"/>
        <v>1.878072763028527</v>
      </c>
      <c r="O72">
        <f t="shared" si="31"/>
        <v>2.782463516120373</v>
      </c>
      <c r="P72">
        <f t="shared" si="32"/>
        <v>8.869684570512419</v>
      </c>
      <c r="Q72">
        <f t="shared" si="33"/>
        <v>7.207761312814128</v>
      </c>
    </row>
    <row r="73" spans="2:17">
      <c r="B73" t="s">
        <v>11</v>
      </c>
      <c r="C73">
        <v>98.07276302851524</v>
      </c>
      <c r="D73">
        <v>98.397246804326457</v>
      </c>
      <c r="E73">
        <v>98.554572271386448</v>
      </c>
      <c r="F73">
        <v>98.554572271386448</v>
      </c>
      <c r="G73">
        <v>98.426918341277471</v>
      </c>
      <c r="H73">
        <v>88.099752881368644</v>
      </c>
      <c r="K73" t="s">
        <v>11</v>
      </c>
      <c r="L73">
        <f t="shared" si="28"/>
        <v>-1.9665683382498855E-2</v>
      </c>
      <c r="M73">
        <f t="shared" si="29"/>
        <v>1.150442477876112</v>
      </c>
      <c r="N73">
        <f t="shared" si="30"/>
        <v>1.1307767944936131</v>
      </c>
      <c r="O73">
        <f t="shared" si="31"/>
        <v>5.9783677482792825</v>
      </c>
      <c r="P73">
        <f t="shared" si="32"/>
        <v>10.450176904644508</v>
      </c>
      <c r="Q73">
        <f t="shared" si="33"/>
        <v>8.3531864462495378</v>
      </c>
    </row>
    <row r="74" spans="2:17">
      <c r="B74" t="s">
        <v>12</v>
      </c>
      <c r="C74">
        <v>93.614587208078504</v>
      </c>
      <c r="D74">
        <v>92.683728521296331</v>
      </c>
      <c r="E74">
        <v>92.067301620256231</v>
      </c>
      <c r="F74">
        <v>89.309630706147971</v>
      </c>
      <c r="G74">
        <v>84.609852449703993</v>
      </c>
      <c r="H74">
        <v>64.47091526166605</v>
      </c>
      <c r="K74" t="s">
        <v>12</v>
      </c>
      <c r="L74">
        <f t="shared" si="28"/>
        <v>0.51322243271999923</v>
      </c>
      <c r="M74">
        <f t="shared" si="29"/>
        <v>1.357064795831576</v>
      </c>
      <c r="N74">
        <f t="shared" si="30"/>
        <v>2.3447405831076935</v>
      </c>
      <c r="O74">
        <f t="shared" si="31"/>
        <v>5.452426059048932</v>
      </c>
      <c r="P74">
        <f t="shared" si="32"/>
        <v>8.3669034045853579</v>
      </c>
      <c r="Q74">
        <f t="shared" si="33"/>
        <v>4.0681378443296836</v>
      </c>
    </row>
    <row r="76" spans="2:17">
      <c r="C76">
        <f>_xlfn.STDEV.P(C64:C73)</f>
        <v>2.9381988037039193</v>
      </c>
      <c r="D76">
        <f t="shared" ref="D76:H76" si="34">_xlfn.STDEV.P(D64:D73)</f>
        <v>3.4683391588487265</v>
      </c>
      <c r="E76">
        <f t="shared" si="34"/>
        <v>3.3180631186975429</v>
      </c>
      <c r="F76">
        <f t="shared" si="34"/>
        <v>4.1175963598211025</v>
      </c>
      <c r="G76">
        <f t="shared" si="34"/>
        <v>5.7189241513972178</v>
      </c>
      <c r="H76">
        <f t="shared" si="34"/>
        <v>10.271117300975391</v>
      </c>
      <c r="L76">
        <f>_xlfn.STDEV.P(L64:L73)</f>
        <v>0.61111822529739146</v>
      </c>
      <c r="M76">
        <f t="shared" ref="M76:Q76" si="35">_xlfn.STDEV.P(M64:M73)</f>
        <v>1.6917542904025649</v>
      </c>
      <c r="N76">
        <f t="shared" si="35"/>
        <v>1.28662694421475</v>
      </c>
      <c r="O76">
        <f t="shared" si="35"/>
        <v>2.9713111382997712</v>
      </c>
      <c r="P76">
        <f t="shared" si="35"/>
        <v>3.3601065521818043</v>
      </c>
      <c r="Q76">
        <f t="shared" si="35"/>
        <v>4.0128082595174224</v>
      </c>
    </row>
  </sheetData>
  <phoneticPr fontId="2" type="noConversion"/>
  <conditionalFormatting sqref="C2:H12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7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3:H43 C17:H27 C2:H12 C49:H59 C64:H7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3:H4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9:H5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4:H7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7:Q27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3:Q43 L49:Q59 L64:Q74 L17:Q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3:Q43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49:Q59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4:Q7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2026-05-31T11:00:43Z</dcterms:modified>
</cp:coreProperties>
</file>