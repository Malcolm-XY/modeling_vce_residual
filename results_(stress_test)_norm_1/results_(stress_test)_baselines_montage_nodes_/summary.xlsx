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(stress_test)_baselines_montage_nodes_\"/>
    </mc:Choice>
  </mc:AlternateContent>
  <xr:revisionPtr revIDLastSave="0" documentId="13_ncr:1_{2694DD37-A6D1-47B0-B5DD-45ABDAA17218}" xr6:coauthVersionLast="47" xr6:coauthVersionMax="47" xr10:uidLastSave="{00000000-0000-0000-0000-000000000000}"/>
  <bookViews>
    <workbookView xWindow="-120" yWindow="-120" windowWidth="29040" windowHeight="15720" tabRatio="639" xr2:uid="{00000000-000D-0000-FFFF-FFFF00000000}"/>
  </bookViews>
  <sheets>
    <sheet name="2026053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6" l="1" a="1"/>
  <c r="I7" i="6" s="1"/>
  <c r="I6" i="6" a="1"/>
  <c r="I6" i="6" s="1"/>
  <c r="I5" i="6" a="1"/>
  <c r="I5" i="6" s="1"/>
  <c r="H6" i="6" a="1"/>
  <c r="H6" i="6"/>
  <c r="H7" i="6" a="1"/>
  <c r="H7" i="6" s="1"/>
  <c r="H3" i="6" a="1"/>
  <c r="H3" i="6" s="1"/>
  <c r="H2" i="6" a="1"/>
  <c r="H2" i="6" s="1"/>
  <c r="H5" i="6" a="1"/>
  <c r="H5" i="6" s="1"/>
  <c r="I13" i="6" a="1"/>
  <c r="I13" i="6" s="1"/>
  <c r="I12" i="6" a="1"/>
  <c r="I12" i="6" s="1"/>
  <c r="H12" i="6" a="1"/>
  <c r="H12" i="6" s="1"/>
  <c r="H8" i="6" a="1"/>
  <c r="H8" i="6" s="1"/>
  <c r="H13" i="6" a="1"/>
  <c r="H13" i="6" s="1"/>
  <c r="H11" i="6" a="1"/>
  <c r="H11" i="6" s="1"/>
  <c r="H10" i="6" a="1"/>
  <c r="H10" i="6" s="1"/>
  <c r="I8" i="6" a="1"/>
  <c r="I8" i="6" s="1"/>
  <c r="I11" i="6" a="1"/>
  <c r="I11" i="6" s="1"/>
  <c r="I10" i="6" a="1"/>
  <c r="I10" i="6" s="1"/>
  <c r="I3" i="6" a="1"/>
  <c r="I3" i="6" s="1"/>
  <c r="I2" i="6" a="1"/>
  <c r="I2" i="6" s="1"/>
  <c r="R13" i="6"/>
  <c r="J13" i="6"/>
  <c r="R12" i="6"/>
  <c r="J12" i="6"/>
  <c r="R11" i="6"/>
  <c r="J11" i="6"/>
  <c r="R10" i="6"/>
  <c r="J10" i="6"/>
  <c r="R8" i="6"/>
  <c r="J8" i="6"/>
  <c r="R5" i="6"/>
  <c r="J5" i="6"/>
  <c r="R3" i="6"/>
  <c r="J3" i="6"/>
  <c r="R2" i="6"/>
  <c r="J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<sst xmlns="http://schemas.openxmlformats.org/spreadsheetml/2006/main" count="34" uniqueCount="24">
  <si>
    <t>NRR</t>
    <phoneticPr fontId="1" type="noConversion"/>
  </si>
  <si>
    <t>Accuracy_Std</t>
    <phoneticPr fontId="1" type="noConversion"/>
  </si>
  <si>
    <t>Original FN, PCC</t>
    <phoneticPr fontId="1" type="noConversion"/>
  </si>
  <si>
    <t>Original FN, PLV</t>
    <phoneticPr fontId="1" type="noConversion"/>
  </si>
  <si>
    <t>Additive Fusion</t>
    <phoneticPr fontId="1" type="noConversion"/>
  </si>
  <si>
    <t>Multipicative Fusion</t>
    <phoneticPr fontId="1" type="noConversion"/>
  </si>
  <si>
    <t>AUC</t>
    <phoneticPr fontId="1" type="noConversion"/>
  </si>
  <si>
    <t>PC-AEC</t>
    <phoneticPr fontId="1" type="noConversion"/>
  </si>
  <si>
    <t>PCC &amp; PLV</t>
    <phoneticPr fontId="1" type="noConversion"/>
  </si>
  <si>
    <t>Splicing-1 (upper-lower triangular)</t>
    <phoneticPr fontId="1" type="noConversion"/>
  </si>
  <si>
    <t>Splicing-2 (diagonal blocking)</t>
    <phoneticPr fontId="1" type="noConversion"/>
  </si>
  <si>
    <t>Residual Model</t>
    <phoneticPr fontId="1" type="noConversion"/>
  </si>
  <si>
    <t>Exponential</t>
    <phoneticPr fontId="1" type="noConversion"/>
  </si>
  <si>
    <t>Rational Quadratic</t>
    <phoneticPr fontId="1" type="noConversion"/>
  </si>
  <si>
    <t>Generalized Gaussian</t>
    <phoneticPr fontId="1" type="noConversion"/>
  </si>
  <si>
    <t>Sigmoid</t>
    <phoneticPr fontId="1" type="noConversion"/>
  </si>
  <si>
    <t>Model Config (Basic Model&amp;Linaer Recovery): 
FN_re=FN_ob-alpha*f(DM(sigma))</t>
    <phoneticPr fontId="1" type="noConversion"/>
  </si>
  <si>
    <t>Surface_Laplacian_Filtering</t>
    <phoneticPr fontId="1" type="noConversion"/>
  </si>
  <si>
    <t>Spatio_Spectral_Decomposition</t>
    <phoneticPr fontId="1" type="noConversion"/>
  </si>
  <si>
    <t>Generalized Surface Laplacian</t>
  </si>
  <si>
    <t>basic optimal</t>
    <phoneticPr fontId="1" type="noConversion"/>
  </si>
  <si>
    <t>Graph Laplacian Highpass</t>
  </si>
  <si>
    <t>Comps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</si>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</sst>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2" borderId="6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top"/>
    </xf>
    <xf numFmtId="0" fontId="2" fillId="2" borderId="0" xfId="0" applyFont="1" applyFill="1"/>
    <xf numFmtId="0" fontId="4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D530-62F3-45D6-8CBF-3B0602E24BE5}">
  <dimension ref="A1:R20"/>
  <sheetViews>
    <sheetView tabSelected="1" zoomScaleNormal="100" workbookViewId="0"/>
  </sheetViews>
  <sheetFormatPr defaultRowHeight="14.25" x14ac:dyDescent="0.2"/>
  <cols>
    <col min="1" max="1" width="25" style="2" customWidth="1"/>
    <col min="2" max="2" width="15" style="2" customWidth="1"/>
    <col min="3" max="10" width="9" style="2"/>
    <col min="11" max="11" width="25" style="2" customWidth="1"/>
    <col min="12" max="12" width="15" style="2" customWidth="1"/>
    <col min="13" max="16384" width="9" style="2"/>
  </cols>
  <sheetData>
    <row r="1" spans="1:18" ht="15.75" thickBot="1" x14ac:dyDescent="0.25">
      <c r="A1" s="1" t="s">
        <v>23</v>
      </c>
      <c r="B1" s="5" t="s">
        <v>0</v>
      </c>
      <c r="C1" s="6">
        <v>1</v>
      </c>
      <c r="D1" s="6">
        <v>0.5</v>
      </c>
      <c r="E1" s="6">
        <v>0.25</v>
      </c>
      <c r="F1" s="6">
        <v>0.125</v>
      </c>
      <c r="G1" s="6">
        <v>6.25E-2</v>
      </c>
      <c r="H1" s="7" t="s">
        <v>6</v>
      </c>
      <c r="I1" s="7" t="s">
        <v>6</v>
      </c>
      <c r="J1" s="4"/>
      <c r="K1" s="1" t="s">
        <v>1</v>
      </c>
      <c r="L1" s="5" t="s">
        <v>0</v>
      </c>
      <c r="M1" s="6">
        <v>1</v>
      </c>
      <c r="N1" s="6">
        <v>0.5</v>
      </c>
      <c r="O1" s="6">
        <v>0.25</v>
      </c>
      <c r="P1" s="6">
        <v>0.125</v>
      </c>
      <c r="Q1" s="6">
        <v>6.25E-2</v>
      </c>
      <c r="R1" s="4"/>
    </row>
    <row r="2" spans="1:18" ht="15.75" thickBot="1" x14ac:dyDescent="0.25">
      <c r="A2" s="21" t="s">
        <v>2</v>
      </c>
      <c r="B2" s="22"/>
      <c r="C2">
        <v>92.97270449283009</v>
      </c>
      <c r="D2">
        <v>92.656851126163161</v>
      </c>
      <c r="E2">
        <v>90.612485113769722</v>
      </c>
      <c r="F2">
        <v>76.890048068466555</v>
      </c>
      <c r="G2">
        <v>57.431157132270449</v>
      </c>
      <c r="H2" s="8" cm="1">
        <f t="array" ref="H2">-SUMPRODUCT((D1:F1-C1:E1)*(C2:E2+D2:F2)/2)</f>
        <v>79.784964258629685</v>
      </c>
      <c r="I2" s="8" cm="1">
        <f t="array" ref="I2">-SUMPRODUCT((D1:G1-C1:F1)*(C2:F2+D2:G2)/2)</f>
        <v>83.982501921152718</v>
      </c>
      <c r="J2" s="4" t="str">
        <f>"    "&amp;_xlfn.TEXTJOIN(", ",TRUE,C2:G2)&amp;","</f>
        <v xml:space="preserve">    92.9727044928301, 92.6568511261632, 90.6124851137697, 76.8900480684666, 57.4311571322704,</v>
      </c>
      <c r="K2" s="21" t="s">
        <v>2</v>
      </c>
      <c r="L2" s="22"/>
      <c r="M2">
        <v>3.6723191410127392</v>
      </c>
      <c r="N2">
        <v>3.8557140126956959</v>
      </c>
      <c r="O2">
        <v>4.1717853309388913</v>
      </c>
      <c r="P2">
        <v>8.1206319222896362</v>
      </c>
      <c r="Q2">
        <v>8.7326493747450371</v>
      </c>
      <c r="R2" s="4" t="str">
        <f>"    "&amp;_xlfn.TEXTJOIN(", ",TRUE,M2:Q2)&amp;","</f>
        <v xml:space="preserve">    3.67231914101274, 3.8557140126957, 4.17178533093889, 8.12063192228964, 8.73264937474504,</v>
      </c>
    </row>
    <row r="3" spans="1:18" ht="15.75" thickBot="1" x14ac:dyDescent="0.25">
      <c r="A3" s="21" t="s">
        <v>3</v>
      </c>
      <c r="B3" s="22"/>
      <c r="C3">
        <v>93.550650668835075</v>
      </c>
      <c r="D3">
        <v>92.282219857726602</v>
      </c>
      <c r="E3">
        <v>90.501679656975099</v>
      </c>
      <c r="F3">
        <v>72.805808585426078</v>
      </c>
      <c r="G3">
        <v>54.064066298151367</v>
      </c>
      <c r="H3" s="8" cm="1">
        <f t="array" ref="H3">-SUMPRODUCT((D1:F1-C1:E1)*(C3:E3+D3:F3)/2)</f>
        <v>79.512923086128211</v>
      </c>
      <c r="I3" s="8" cm="1">
        <f t="array" ref="I3">-SUMPRODUCT((D1:G1-C1:F1)*(C3:F3+D3:G3)/2)</f>
        <v>83.477606676240001</v>
      </c>
      <c r="J3" s="4" t="str">
        <f>"    "&amp;_xlfn.TEXTJOIN(", ",TRUE,C3:G3)&amp;","</f>
        <v xml:space="preserve">    93.5506506688351, 92.2822198577266, 90.5016796569751, 72.8058085854261, 54.0640662981514,</v>
      </c>
      <c r="K3" s="21" t="s">
        <v>3</v>
      </c>
      <c r="L3" s="22"/>
      <c r="M3">
        <v>3.5444962758226279</v>
      </c>
      <c r="N3">
        <v>3.640571601682856</v>
      </c>
      <c r="O3">
        <v>3.5241233819887818</v>
      </c>
      <c r="P3">
        <v>9.1245390051568016</v>
      </c>
      <c r="Q3">
        <v>7.5991148630492704</v>
      </c>
      <c r="R3" s="4" t="str">
        <f>"    "&amp;_xlfn.TEXTJOIN(", ",TRUE,M3:Q3)&amp;","</f>
        <v xml:space="preserve">    3.54449627582263, 3.64057160168286, 3.52412338198878, 9.1245390051568, 7.59911486304927,</v>
      </c>
    </row>
    <row r="4" spans="1:18" ht="32.25" customHeight="1" thickBot="1" x14ac:dyDescent="0.25">
      <c r="A4" s="23" t="s">
        <v>16</v>
      </c>
      <c r="B4" s="24"/>
      <c r="C4" s="24"/>
      <c r="D4" s="24"/>
      <c r="E4" s="24"/>
      <c r="F4" s="24"/>
      <c r="G4" s="24"/>
      <c r="H4" s="10"/>
      <c r="I4" s="10"/>
      <c r="J4" s="4"/>
      <c r="K4" s="21" t="s">
        <v>7</v>
      </c>
      <c r="L4" s="24"/>
      <c r="M4" s="24"/>
      <c r="N4" s="24"/>
      <c r="O4" s="24"/>
      <c r="P4" s="24"/>
      <c r="Q4" s="24"/>
      <c r="R4" s="4"/>
    </row>
    <row r="5" spans="1:18" ht="15.75" customHeight="1" x14ac:dyDescent="0.2">
      <c r="A5" s="26" t="s">
        <v>11</v>
      </c>
      <c r="B5" s="13" t="s">
        <v>12</v>
      </c>
      <c r="C5"/>
      <c r="D5"/>
      <c r="E5"/>
      <c r="F5"/>
      <c r="G5"/>
      <c r="H5" s="10" cm="1">
        <f t="array" ref="H5">-SUMPRODUCT((D1:F1-C1:E1)*(C5:E5+D5:F5)/2)</f>
        <v>0</v>
      </c>
      <c r="I5" s="10" cm="1">
        <f t="array" ref="I5">-SUMPRODUCT((D1:G1-C1:F1)*(C5:F5+D5:G5)/2)</f>
        <v>0</v>
      </c>
      <c r="J5" s="4" t="str">
        <f>"    "&amp;_xlfn.TEXTJOIN(", ",TRUE,C5:G5)&amp;","</f>
        <v xml:space="preserve">    ,</v>
      </c>
      <c r="K5" s="26" t="s">
        <v>11</v>
      </c>
      <c r="L5" s="13" t="s">
        <v>12</v>
      </c>
      <c r="M5"/>
      <c r="N5"/>
      <c r="O5"/>
      <c r="P5"/>
      <c r="Q5"/>
      <c r="R5" s="4" t="str">
        <f>"    "&amp;_xlfn.TEXTJOIN(", ",TRUE,M5:Q5)&amp;","</f>
        <v xml:space="preserve">    ,</v>
      </c>
    </row>
    <row r="6" spans="1:18" ht="15.75" customHeight="1" x14ac:dyDescent="0.2">
      <c r="A6" s="27"/>
      <c r="B6" s="14" t="s">
        <v>13</v>
      </c>
      <c r="C6"/>
      <c r="D6"/>
      <c r="E6"/>
      <c r="F6"/>
      <c r="G6"/>
      <c r="H6" s="10" cm="1">
        <f t="array" ref="H6">-SUMPRODUCT((D1:F1-C1:E1)*(C6:E6+D6:F6)/2)</f>
        <v>0</v>
      </c>
      <c r="I6" s="10" cm="1">
        <f t="array" ref="I6">-SUMPRODUCT((D1:G1-C1:F1)*(C6:F6+D6:G6)/2)</f>
        <v>0</v>
      </c>
      <c r="J6" s="4"/>
      <c r="K6" s="27"/>
      <c r="L6" s="14" t="s">
        <v>13</v>
      </c>
      <c r="M6"/>
      <c r="N6"/>
      <c r="O6"/>
      <c r="P6"/>
      <c r="Q6"/>
      <c r="R6" s="4"/>
    </row>
    <row r="7" spans="1:18" ht="15.75" customHeight="1" x14ac:dyDescent="0.2">
      <c r="A7" s="27"/>
      <c r="B7" s="14" t="s">
        <v>14</v>
      </c>
      <c r="C7"/>
      <c r="D7"/>
      <c r="E7"/>
      <c r="F7"/>
      <c r="G7"/>
      <c r="H7" s="10" cm="1">
        <f t="array" ref="H7">-SUMPRODUCT((D1:F1-C1:E1)*(C7:E7+D7:F7)/2)</f>
        <v>0</v>
      </c>
      <c r="I7" s="10" cm="1">
        <f t="array" ref="I7">-SUMPRODUCT((D1:G1-C1:F1)*(C7:F7+D7:G7)/2)</f>
        <v>0</v>
      </c>
      <c r="J7" s="4"/>
      <c r="K7" s="27"/>
      <c r="L7" s="14" t="s">
        <v>14</v>
      </c>
      <c r="M7"/>
      <c r="N7"/>
      <c r="O7"/>
      <c r="P7"/>
      <c r="Q7"/>
      <c r="R7" s="4"/>
    </row>
    <row r="8" spans="1:18" ht="15.75" customHeight="1" thickBot="1" x14ac:dyDescent="0.25">
      <c r="A8" s="28"/>
      <c r="B8" s="15" t="s">
        <v>15</v>
      </c>
      <c r="C8"/>
      <c r="D8"/>
      <c r="E8"/>
      <c r="F8"/>
      <c r="G8"/>
      <c r="H8" s="10" cm="1">
        <f t="array" ref="H8">-SUMPRODUCT((D1:F1-C1:E1)*(C8:E8+D8:F8)/2)</f>
        <v>0</v>
      </c>
      <c r="I8" s="10" cm="1">
        <f t="array" ref="I8">-SUMPRODUCT((D1:G1-C1:F1)*(C8:F8+D8:G8)/2)</f>
        <v>0</v>
      </c>
      <c r="J8" s="4" t="str">
        <f>"    "&amp;_xlfn.TEXTJOIN(", ",TRUE,C8:G8)&amp;","</f>
        <v xml:space="preserve">    ,</v>
      </c>
      <c r="K8" s="28"/>
      <c r="L8" s="15" t="s">
        <v>15</v>
      </c>
      <c r="M8" s="11"/>
      <c r="N8" s="12"/>
      <c r="O8" s="12"/>
      <c r="P8" s="12"/>
      <c r="Q8" s="12"/>
      <c r="R8" s="4" t="str">
        <f>"    "&amp;_xlfn.TEXTJOIN(", ",TRUE,M8:Q8)&amp;","</f>
        <v xml:space="preserve">    ,</v>
      </c>
    </row>
    <row r="9" spans="1:18" ht="15.75" thickBot="1" x14ac:dyDescent="0.25">
      <c r="A9" s="21" t="s">
        <v>22</v>
      </c>
      <c r="B9" s="24"/>
      <c r="C9" s="25"/>
      <c r="D9" s="25"/>
      <c r="E9" s="25"/>
      <c r="F9" s="25"/>
      <c r="G9" s="25"/>
      <c r="H9" s="10"/>
      <c r="I9" s="10"/>
      <c r="J9" s="4"/>
      <c r="K9" s="21" t="s">
        <v>8</v>
      </c>
      <c r="L9" s="24"/>
      <c r="M9" s="25"/>
      <c r="N9" s="25"/>
      <c r="O9" s="25"/>
      <c r="P9" s="25"/>
      <c r="Q9" s="25"/>
      <c r="R9" s="4"/>
    </row>
    <row r="10" spans="1:18" ht="15.75" customHeight="1" thickBot="1" x14ac:dyDescent="0.25">
      <c r="A10" s="19" t="s">
        <v>17</v>
      </c>
      <c r="B10" s="20"/>
      <c r="C10">
        <v>89.948053183851073</v>
      </c>
      <c r="D10">
        <v>89.773538986784772</v>
      </c>
      <c r="E10">
        <v>87.13721283632789</v>
      </c>
      <c r="F10">
        <v>72.586409340334541</v>
      </c>
      <c r="G10">
        <v>55.589269803372012</v>
      </c>
      <c r="H10" s="10" cm="1">
        <f t="array" ref="H10">-SUMPRODUCT((D1:F1-C1:E1)*(C10:E10+D10:F10)/2)</f>
        <v>77.026968406589447</v>
      </c>
      <c r="I10" s="10" cm="1">
        <f t="array" ref="I10">-SUMPRODUCT((D1:G1-C1:F1)*(C10:F10+D10:G10)/2)</f>
        <v>81.032458379830274</v>
      </c>
      <c r="J10" s="4" t="str">
        <f>"    "&amp;_xlfn.TEXTJOIN(", ",TRUE,C10:G10)&amp;","</f>
        <v xml:space="preserve">    89.9480531838511, 89.7735389867848, 87.1372128363279, 72.5864093403345, 55.589269803372,</v>
      </c>
      <c r="K10" s="21" t="s">
        <v>4</v>
      </c>
      <c r="L10" s="22"/>
      <c r="M10">
        <v>5.8450327223969278</v>
      </c>
      <c r="N10">
        <v>5.2105956520516798</v>
      </c>
      <c r="O10">
        <v>6.5916358256131504</v>
      </c>
      <c r="P10">
        <v>10.50833342877417</v>
      </c>
      <c r="Q10">
        <v>8.7197957518862648</v>
      </c>
      <c r="R10" s="4" t="str">
        <f>"    "&amp;_xlfn.TEXTJOIN(", ",TRUE,M10:Q10)&amp;","</f>
        <v xml:space="preserve">    5.84503272239693, 5.21059565205168, 6.59163582561315, 10.5083334287742, 8.71979575188626,</v>
      </c>
    </row>
    <row r="11" spans="1:18" ht="15.75" customHeight="1" thickBot="1" x14ac:dyDescent="0.25">
      <c r="A11" s="19" t="s">
        <v>18</v>
      </c>
      <c r="B11" s="20"/>
      <c r="C11">
        <v>86.108397708169349</v>
      </c>
      <c r="D11">
        <v>86.898237297323774</v>
      </c>
      <c r="E11">
        <v>85.587580054037375</v>
      </c>
      <c r="F11">
        <v>75.107616271190366</v>
      </c>
      <c r="G11">
        <v>66.680040484779298</v>
      </c>
      <c r="H11" s="10" cm="1">
        <f t="array" ref="H11">-SUMPRODUCT((D1:F1-C1:E1)*(C11:E11+D11:F11)/2)</f>
        <v>74.855835690620154</v>
      </c>
      <c r="I11" s="10" cm="1">
        <f t="array" ref="I11">-SUMPRODUCT((D1:G1-C1:F1)*(C11:F11+D11:G11)/2)</f>
        <v>79.286699964244207</v>
      </c>
      <c r="J11" s="4" t="str">
        <f>"    "&amp;_xlfn.TEXTJOIN(", ",TRUE,C11:G11)&amp;","</f>
        <v xml:space="preserve">    86.1083977081693, 86.8982372973238, 85.5875800540374, 75.1076162711904, 66.6800404847793,</v>
      </c>
      <c r="K11" s="21" t="s">
        <v>5</v>
      </c>
      <c r="L11" s="22"/>
      <c r="M11">
        <v>5.1569372313166033</v>
      </c>
      <c r="N11">
        <v>5.2500303646430044</v>
      </c>
      <c r="O11">
        <v>5.7714661751551768</v>
      </c>
      <c r="P11">
        <v>7.6752938403667388</v>
      </c>
      <c r="Q11">
        <v>7.7551647053331569</v>
      </c>
      <c r="R11" s="4" t="str">
        <f>"    "&amp;_xlfn.TEXTJOIN(", ",TRUE,M11:Q11)&amp;","</f>
        <v xml:space="preserve">    5.1569372313166, 5.250030364643, 5.77146617515518, 7.67529384036674, 7.75516470533316,</v>
      </c>
    </row>
    <row r="12" spans="1:18" ht="15.75" customHeight="1" thickBot="1" x14ac:dyDescent="0.25">
      <c r="A12" s="17" t="s">
        <v>19</v>
      </c>
      <c r="B12" s="16" t="s">
        <v>20</v>
      </c>
      <c r="C12">
        <v>92.334783749571088</v>
      </c>
      <c r="D12">
        <v>92.398420401560585</v>
      </c>
      <c r="E12">
        <v>91.470035784623263</v>
      </c>
      <c r="F12">
        <v>79.542608500073541</v>
      </c>
      <c r="G12">
        <v>66.101529136641901</v>
      </c>
      <c r="H12" s="10" cm="1">
        <f t="array" ref="H12">-SUMPRODUCT((D1:F1-C1:E1)*(C12:E12+D12:F12)/2)</f>
        <v>79.855148328849452</v>
      </c>
      <c r="I12" s="10" cm="1">
        <f t="array" ref="I12">-SUMPRODUCT((D1:G1-C1:F1)*(C12:F12+D12:G12)/2)</f>
        <v>84.406527629996816</v>
      </c>
      <c r="J12" s="4" t="str">
        <f>"    "&amp;_xlfn.TEXTJOIN(", ",TRUE,C12:G12)&amp;","</f>
        <v xml:space="preserve">    92.3347837495711, 92.3984204015606, 91.4700357846233, 79.5426085000735, 66.1015291366419,</v>
      </c>
      <c r="K12" s="21" t="s">
        <v>9</v>
      </c>
      <c r="L12" s="22"/>
      <c r="M12">
        <v>4.045041265652582</v>
      </c>
      <c r="N12">
        <v>4.2744563086590164</v>
      </c>
      <c r="O12">
        <v>4.0792798769579246</v>
      </c>
      <c r="P12">
        <v>7.9871312729989734</v>
      </c>
      <c r="Q12">
        <v>11.15073222511325</v>
      </c>
      <c r="R12" s="4" t="str">
        <f>"    "&amp;_xlfn.TEXTJOIN(", ",TRUE,M12:Q12)&amp;","</f>
        <v xml:space="preserve">    4.04504126565258, 4.27445630865902, 4.07927987695792, 7.98713127299897, 11.1507322251133,</v>
      </c>
    </row>
    <row r="13" spans="1:18" ht="15.75" customHeight="1" thickBot="1" x14ac:dyDescent="0.25">
      <c r="A13" s="17" t="s">
        <v>21</v>
      </c>
      <c r="B13" s="18" t="s">
        <v>20</v>
      </c>
      <c r="C13">
        <v>93.149545699645628</v>
      </c>
      <c r="D13">
        <v>92.607709985957186</v>
      </c>
      <c r="E13">
        <v>91.126610091782808</v>
      </c>
      <c r="F13">
        <v>79.841532654550079</v>
      </c>
      <c r="G13">
        <v>67.356018073974099</v>
      </c>
      <c r="H13" s="10" cm="1">
        <f t="array" ref="H13">-SUMPRODUCT((D1:F1-C1:E1)*(C13:E13+D13:F13)/2)</f>
        <v>80.091612852764001</v>
      </c>
      <c r="I13" s="10" cm="1">
        <f t="array" ref="I13">-SUMPRODUCT((D1:G1-C1:F1)*(C13:F13+D13:G13)/2)</f>
        <v>84.691536313030383</v>
      </c>
      <c r="J13" s="4" t="str">
        <f>"    "&amp;_xlfn.TEXTJOIN(", ",TRUE,C13:G13)&amp;","</f>
        <v xml:space="preserve">    93.1495456996456, 92.6077099859572, 91.1266100917828, 79.8415326545501, 67.3560180739741,</v>
      </c>
      <c r="K13" s="21" t="s">
        <v>10</v>
      </c>
      <c r="L13" s="22"/>
      <c r="M13">
        <v>3.5934030107437041</v>
      </c>
      <c r="N13">
        <v>3.8235055303344812</v>
      </c>
      <c r="O13">
        <v>3.9081375115257382</v>
      </c>
      <c r="P13">
        <v>8.9401411696246456</v>
      </c>
      <c r="Q13">
        <v>11.538816944145751</v>
      </c>
      <c r="R13" s="4" t="str">
        <f>"    "&amp;_xlfn.TEXTJOIN(", ",TRUE,M13:Q13)&amp;","</f>
        <v xml:space="preserve">    3.5934030107437, 3.82350553033448, 3.90813751152574, 8.94014116962465, 11.5388169441458,</v>
      </c>
    </row>
    <row r="14" spans="1:18" x14ac:dyDescent="0.2">
      <c r="A14" s="9"/>
      <c r="B14" s="9"/>
      <c r="C14" s="9"/>
      <c r="D14" s="9"/>
      <c r="E14" s="9"/>
      <c r="F14" s="9"/>
      <c r="G14" s="9"/>
      <c r="H14" s="9"/>
      <c r="I14" s="9"/>
      <c r="K14" s="9"/>
      <c r="L14" s="9"/>
      <c r="M14" s="9"/>
      <c r="N14" s="9"/>
      <c r="O14" s="9"/>
      <c r="P14" s="9"/>
      <c r="Q14" s="9"/>
    </row>
    <row r="15" spans="1:18" ht="15" x14ac:dyDescent="0.2">
      <c r="J15" s="3"/>
      <c r="K15" s="3"/>
      <c r="L15" s="3"/>
      <c r="M15" s="3"/>
      <c r="N15" s="3"/>
      <c r="O15" s="3"/>
      <c r="P15" s="3"/>
      <c r="Q15" s="3"/>
    </row>
    <row r="16" spans="1:18" ht="15" x14ac:dyDescent="0.2">
      <c r="J16" s="3"/>
      <c r="K16" s="3"/>
      <c r="L16" s="3"/>
      <c r="M16" s="3"/>
      <c r="N16" s="3"/>
      <c r="O16" s="3"/>
      <c r="P16" s="3"/>
      <c r="Q16" s="3"/>
    </row>
    <row r="17" spans="8:17" ht="15" x14ac:dyDescent="0.2"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8:17" ht="15" x14ac:dyDescent="0.2"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8:17" ht="15" x14ac:dyDescent="0.2"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8:17" ht="15" x14ac:dyDescent="0.2">
      <c r="H20" s="3"/>
      <c r="I20" s="3"/>
      <c r="J20" s="3"/>
      <c r="K20" s="3"/>
      <c r="L20" s="3"/>
      <c r="M20" s="3"/>
      <c r="N20" s="3"/>
      <c r="O20" s="3"/>
      <c r="P20" s="3"/>
      <c r="Q20" s="3"/>
    </row>
  </sheetData>
  <mergeCells count="16">
    <mergeCell ref="A2:B2"/>
    <mergeCell ref="K2:L2"/>
    <mergeCell ref="A3:B3"/>
    <mergeCell ref="K3:L3"/>
    <mergeCell ref="A11:B11"/>
    <mergeCell ref="K11:L11"/>
    <mergeCell ref="K12:L12"/>
    <mergeCell ref="K13:L13"/>
    <mergeCell ref="A4:G4"/>
    <mergeCell ref="K4:Q4"/>
    <mergeCell ref="A9:G9"/>
    <mergeCell ref="K9:Q9"/>
    <mergeCell ref="A10:B10"/>
    <mergeCell ref="K10:L10"/>
    <mergeCell ref="A5:A8"/>
    <mergeCell ref="K5:K8"/>
  </mergeCells>
  <phoneticPr fontId="1" type="noConversion"/>
  <conditionalFormatting sqref="A5:A8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0:A11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0:B10 A11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0:B11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2:B13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:B8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G3 C5:G8 C10:G1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G3 H2:I13">
    <cfRule type="colorScale" priority="3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G3">
    <cfRule type="colorScale" priority="33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3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G3 H3:I4">
    <cfRule type="colorScale" priority="34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G5 C7:G7">
    <cfRule type="colorScale" priority="3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G5 C7:G8 C2:G3 C10:G13">
    <cfRule type="colorScale" priority="36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:G8">
    <cfRule type="colorScale" priority="31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0:G12">
    <cfRule type="colorScale" priority="3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6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0:G13 C5:G5 C7:G8 C2:G3">
    <cfRule type="colorScale" priority="37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0:G13">
    <cfRule type="colorScale" priority="3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3 H5:H8 H10:H13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13">
    <cfRule type="colorScale" priority="3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3">
    <cfRule type="colorScale" priority="3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5:I8 I2:I3 I10:I1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8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5:L8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20260531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2026-05-30T18:38:31Z</dcterms:modified>
</cp:coreProperties>
</file>