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LV_subnetwork_separate_node_index\"/>
    </mc:Choice>
  </mc:AlternateContent>
  <xr:revisionPtr revIDLastSave="0" documentId="13_ncr:1_{A5F34F63-3A9F-4DE4-9408-2A8A32CA6AB6}" xr6:coauthVersionLast="47" xr6:coauthVersionMax="47" xr10:uidLastSave="{00000000-0000-0000-0000-000000000000}"/>
  <bookViews>
    <workbookView xWindow="28680" yWindow="-120" windowWidth="29040" windowHeight="16440" tabRatio="633" xr2:uid="{00000000-000D-0000-FFFF-FFFF00000000}"/>
  </bookViews>
  <sheets>
    <sheet name="plv_Residual&amp;Competitors" sheetId="11" r:id="rId1"/>
    <sheet name="plv_Residual_fulldata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9" l="1"/>
  <c r="K4" i="9"/>
  <c r="I3" i="11" a="1"/>
  <c r="I3" i="11" s="1"/>
  <c r="J3" i="11"/>
  <c r="J4" i="11"/>
  <c r="J5" i="11"/>
  <c r="J6" i="11"/>
  <c r="I4" i="11" a="1"/>
  <c r="I4" i="11" s="1"/>
  <c r="J4" i="9" a="1"/>
  <c r="J4" i="9" s="1"/>
  <c r="J3" i="9" a="1"/>
  <c r="J3" i="9" s="1"/>
  <c r="J25" i="9" a="1"/>
  <c r="J25" i="9" s="1"/>
  <c r="J16" i="9" a="1"/>
  <c r="J16" i="9" s="1"/>
  <c r="J8" i="9" a="1"/>
  <c r="J8" i="9" s="1"/>
  <c r="J7" i="9" a="1"/>
  <c r="J7" i="9" s="1"/>
  <c r="J6" i="9" a="1"/>
  <c r="J6" i="9" s="1"/>
  <c r="J5" i="9" a="1"/>
  <c r="J5" i="9" s="1"/>
  <c r="J2" i="9" a="1"/>
  <c r="J2" i="9" s="1"/>
  <c r="I2" i="11" a="1"/>
  <c r="I2" i="11" s="1"/>
  <c r="I24" i="11" a="1"/>
  <c r="I24" i="11" s="1"/>
  <c r="I23" i="11" a="1"/>
  <c r="I23" i="11" s="1"/>
  <c r="I22" i="11" a="1"/>
  <c r="I22" i="11" s="1"/>
  <c r="I21" i="11" a="1"/>
  <c r="I21" i="11" s="1"/>
  <c r="I20" i="11" a="1"/>
  <c r="I20" i="11" s="1"/>
  <c r="I19" i="11" a="1"/>
  <c r="I19" i="11" s="1"/>
  <c r="I18" i="11" a="1"/>
  <c r="I18" i="11" s="1"/>
  <c r="I10" i="11" a="1"/>
  <c r="I10" i="11" s="1"/>
  <c r="I12" i="11" a="1"/>
  <c r="I12" i="11" s="1"/>
  <c r="I13" i="11" a="1"/>
  <c r="I13" i="11" s="1"/>
  <c r="I15" i="11" a="1"/>
  <c r="I15" i="11" s="1"/>
  <c r="I14" i="11" a="1"/>
  <c r="I14" i="11" s="1"/>
  <c r="I11" i="11" a="1"/>
  <c r="I11" i="11" s="1"/>
  <c r="I9" i="11" a="1"/>
  <c r="I9" i="11" s="1"/>
  <c r="I6" i="11" a="1"/>
  <c r="I6" i="11" s="1"/>
  <c r="I5" i="11" a="1"/>
  <c r="I5" i="11" s="1"/>
  <c r="J24" i="11"/>
  <c r="J23" i="11"/>
  <c r="J22" i="11"/>
  <c r="J21" i="11"/>
  <c r="J20" i="11"/>
  <c r="J19" i="11"/>
  <c r="J18" i="11"/>
  <c r="J15" i="11"/>
  <c r="J14" i="11"/>
  <c r="J13" i="11"/>
  <c r="J12" i="11"/>
  <c r="J11" i="11"/>
  <c r="J10" i="11"/>
  <c r="J9" i="11"/>
  <c r="J2" i="11"/>
  <c r="K8" i="9"/>
  <c r="K6" i="9"/>
  <c r="K7" i="9"/>
  <c r="L5" i="9"/>
  <c r="K5" i="9"/>
  <c r="L2" i="9"/>
  <c r="L26" i="9"/>
  <c r="L25" i="9"/>
  <c r="L24" i="9"/>
  <c r="L23" i="9"/>
  <c r="L22" i="9"/>
  <c r="L21" i="9"/>
  <c r="L20" i="9"/>
  <c r="L12" i="9"/>
  <c r="L13" i="9"/>
  <c r="L14" i="9"/>
  <c r="L15" i="9"/>
  <c r="L16" i="9"/>
  <c r="L17" i="9"/>
  <c r="L11" i="9"/>
  <c r="K26" i="9"/>
  <c r="K25" i="9"/>
  <c r="K24" i="9"/>
  <c r="K23" i="9"/>
  <c r="K22" i="9"/>
  <c r="K21" i="9"/>
  <c r="K20" i="9"/>
  <c r="K17" i="9"/>
  <c r="K16" i="9"/>
  <c r="K15" i="9"/>
  <c r="K14" i="9"/>
  <c r="K13" i="9"/>
  <c r="K12" i="9"/>
  <c r="K11" i="9"/>
  <c r="K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<sst xmlns="http://schemas.openxmlformats.org/spreadsheetml/2006/main" count="227" uniqueCount="30">
  <si>
    <t>Residual Model</t>
    <phoneticPr fontId="1" type="noConversion"/>
  </si>
  <si>
    <t>Exponential</t>
    <phoneticPr fontId="1" type="noConversion"/>
  </si>
  <si>
    <t>Gaussian</t>
    <phoneticPr fontId="1" type="noConversion"/>
  </si>
  <si>
    <t>Inverse</t>
    <phoneticPr fontId="1" type="noConversion"/>
  </si>
  <si>
    <t>Power Law</t>
    <phoneticPr fontId="1" type="noConversion"/>
  </si>
  <si>
    <t>Rational Quadratic</t>
    <phoneticPr fontId="1" type="noConversion"/>
  </si>
  <si>
    <t>Generalized Gaussian</t>
    <phoneticPr fontId="1" type="noConversion"/>
  </si>
  <si>
    <t>Sigmoid</t>
    <phoneticPr fontId="1" type="noConversion"/>
  </si>
  <si>
    <t>Generalized Surface Laplacian</t>
    <phoneticPr fontId="1" type="noConversion"/>
  </si>
  <si>
    <t>Advanced Model</t>
    <phoneticPr fontId="1" type="noConversion"/>
  </si>
  <si>
    <t>Model Config: Advanced Linear Ratio</t>
    <phoneticPr fontId="1" type="noConversion"/>
  </si>
  <si>
    <t>Model Config: Basic Linear</t>
    <phoneticPr fontId="1" type="noConversion"/>
  </si>
  <si>
    <t>MBPE(simple)</t>
    <phoneticPr fontId="1" type="noConversion"/>
  </si>
  <si>
    <t>knn_median=3</t>
  </si>
  <si>
    <t>basic optimal</t>
    <phoneticPr fontId="1" type="noConversion"/>
  </si>
  <si>
    <t>AUC</t>
    <phoneticPr fontId="1" type="noConversion"/>
  </si>
  <si>
    <t>Surface_Laplacian_Filtering</t>
    <phoneticPr fontId="1" type="noConversion"/>
  </si>
  <si>
    <t>Spatio_Spectral_Decomposition</t>
    <phoneticPr fontId="1" type="noConversion"/>
  </si>
  <si>
    <t>Model Config (Advanced Model&amp;Linaer_Ratio Recovery): 
FN_re=FN_ob-alpha*f(DM+deviation)+offset)+beta*(FN_ob/f(DM+deviation))</t>
    <phoneticPr fontId="1" type="noConversion"/>
  </si>
  <si>
    <t>Model Config (Basic Model&amp;Linaer Recovery): 
FN_re=FN_ob-alpha*f(DM(sigma))</t>
    <phoneticPr fontId="1" type="noConversion"/>
  </si>
  <si>
    <t>Graph Laplacian Highpass</t>
  </si>
  <si>
    <t>Graph Laplacian Highpass</t>
    <phoneticPr fontId="1" type="noConversion"/>
  </si>
  <si>
    <t>NNR</t>
    <phoneticPr fontId="1" type="noConversion"/>
  </si>
  <si>
    <t>Accuracy</t>
    <phoneticPr fontId="1" type="noConversion"/>
  </si>
  <si>
    <t>Accuracy_Std</t>
    <phoneticPr fontId="1" type="noConversion"/>
  </si>
  <si>
    <t>NRR</t>
    <phoneticPr fontId="1" type="noConversion"/>
  </si>
  <si>
    <t>F1 Score</t>
    <phoneticPr fontId="1" type="noConversion"/>
  </si>
  <si>
    <t>F1 Score_Std</t>
    <phoneticPr fontId="1" type="noConversion"/>
  </si>
  <si>
    <t>Original FN</t>
    <phoneticPr fontId="1" type="noConversion"/>
  </si>
  <si>
    <t>Generalized Surface Laplacian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</si>
</sst>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9" xfId="0" applyFont="1" applyFill="1" applyBorder="1"/>
    <xf numFmtId="0" fontId="2" fillId="2" borderId="11" xfId="0" applyFont="1" applyFill="1" applyBorder="1"/>
    <xf numFmtId="0" fontId="2" fillId="2" borderId="10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3" borderId="9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9" xfId="0" applyFont="1" applyFill="1" applyBorder="1"/>
    <xf numFmtId="0" fontId="2" fillId="3" borderId="11" xfId="0" applyFont="1" applyFill="1" applyBorder="1"/>
    <xf numFmtId="0" fontId="2" fillId="3" borderId="10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0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E2AD-B27D-44F5-B52F-A3DA851B8214}">
  <dimension ref="A1:R49"/>
  <sheetViews>
    <sheetView tabSelected="1"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0" width="9" style="2"/>
    <col min="11" max="11" width="18.75" style="2" customWidth="1"/>
    <col min="12" max="12" width="15" style="2" customWidth="1"/>
    <col min="13" max="16384" width="9" style="2"/>
  </cols>
  <sheetData>
    <row r="1" spans="1:18" ht="15" thickBot="1" x14ac:dyDescent="0.25">
      <c r="A1" s="47" t="s">
        <v>23</v>
      </c>
      <c r="B1" s="44" t="s">
        <v>22</v>
      </c>
      <c r="C1" s="43">
        <v>1</v>
      </c>
      <c r="D1" s="45">
        <v>0.75</v>
      </c>
      <c r="E1" s="45">
        <v>0.5</v>
      </c>
      <c r="F1" s="45">
        <v>0.3</v>
      </c>
      <c r="G1" s="45">
        <v>0.2</v>
      </c>
      <c r="H1" s="44">
        <v>0.1</v>
      </c>
      <c r="I1" s="63" t="s">
        <v>15</v>
      </c>
      <c r="J1" s="64"/>
      <c r="K1" s="47" t="s">
        <v>24</v>
      </c>
      <c r="L1" s="44" t="s">
        <v>22</v>
      </c>
      <c r="M1" s="43">
        <v>1</v>
      </c>
      <c r="N1" s="45">
        <v>0.75</v>
      </c>
      <c r="O1" s="45">
        <v>0.5</v>
      </c>
      <c r="P1" s="45">
        <v>0.3</v>
      </c>
      <c r="Q1" s="45">
        <v>0.2</v>
      </c>
      <c r="R1" s="44">
        <v>0.1</v>
      </c>
    </row>
    <row r="2" spans="1:18" ht="15" thickBot="1" x14ac:dyDescent="0.25">
      <c r="A2" s="69" t="s">
        <v>28</v>
      </c>
      <c r="B2" s="85"/>
      <c r="C2" s="25">
        <v>93.273358766079312</v>
      </c>
      <c r="D2" s="26">
        <v>91.615587793435367</v>
      </c>
      <c r="E2" s="26">
        <v>90.62053304959386</v>
      </c>
      <c r="F2" s="26">
        <v>86.59751381932368</v>
      </c>
      <c r="G2" s="26">
        <v>78.22435026831262</v>
      </c>
      <c r="H2" s="27">
        <v>60.854992978601317</v>
      </c>
      <c r="I2" s="23" cm="1">
        <f t="array" ref="I2">-SUMPRODUCT((D1:H1-C1:G1)*(C2:G2+D2:H2)/2)</f>
        <v>78.807498478937248</v>
      </c>
      <c r="J2" s="24" t="str">
        <f>"    "&amp;_xlfn.TEXTJOIN(", ",TRUE,C2:H2)&amp;","</f>
        <v xml:space="preserve">    93.2733587660793, 91.6155877934354, 90.6205330495939, 86.5975138193237, 78.2243502683126, 60.8549929786013,</v>
      </c>
      <c r="K2" s="69" t="s">
        <v>28</v>
      </c>
      <c r="L2" s="85"/>
      <c r="M2" s="28">
        <v>3.4672469457762647</v>
      </c>
      <c r="N2" s="29">
        <v>4.1066373858138912</v>
      </c>
      <c r="O2" s="29">
        <v>4.4433442831389707</v>
      </c>
      <c r="P2" s="29">
        <v>4.8572661690244194</v>
      </c>
      <c r="Q2" s="29">
        <v>6.7334065011993722</v>
      </c>
      <c r="R2" s="30">
        <v>9.3055912140758643</v>
      </c>
    </row>
    <row r="3" spans="1:18" ht="15" thickBot="1" x14ac:dyDescent="0.25">
      <c r="A3" s="69" t="s">
        <v>16</v>
      </c>
      <c r="B3" s="70"/>
      <c r="C3" s="25">
        <v>91.183040799084182</v>
      </c>
      <c r="D3" s="26">
        <v>90.993376528632041</v>
      </c>
      <c r="E3" s="26">
        <v>89.575994025323183</v>
      </c>
      <c r="F3" s="26">
        <v>87.075747483398061</v>
      </c>
      <c r="G3" s="26">
        <v>84.502634105831376</v>
      </c>
      <c r="H3" s="27">
        <v>64.535713976764512</v>
      </c>
      <c r="I3" s="23" cm="1">
        <f t="array" ref="I3">-SUMPRODUCT((D1:H1-C1:G1)*(C3:G3+D3:H3)/2)</f>
        <v>79.039234119672329</v>
      </c>
      <c r="J3" s="24" t="str">
        <f t="shared" ref="J3:J6" si="0">"    "&amp;_xlfn.TEXTJOIN(", ",TRUE,C3:H3)&amp;","</f>
        <v xml:space="preserve">    91.1830407990842, 90.993376528632, 89.5759940253232, 87.0757474833981, 84.5026341058314, 64.5357139767645,</v>
      </c>
      <c r="K3" s="69" t="s">
        <v>16</v>
      </c>
      <c r="L3" s="70"/>
      <c r="M3" s="28">
        <v>3.6304356896667822</v>
      </c>
      <c r="N3" s="29">
        <v>4.1563832177869031</v>
      </c>
      <c r="O3" s="29">
        <v>5.199169452154365</v>
      </c>
      <c r="P3" s="29">
        <v>6.7300098038020417</v>
      </c>
      <c r="Q3" s="29">
        <v>6.9700930926995044</v>
      </c>
      <c r="R3" s="30">
        <v>10.29776577193992</v>
      </c>
    </row>
    <row r="4" spans="1:18" ht="15" thickBot="1" x14ac:dyDescent="0.25">
      <c r="A4" s="69" t="s">
        <v>17</v>
      </c>
      <c r="B4" s="70"/>
      <c r="C4" s="25">
        <v>90.664120508539568</v>
      </c>
      <c r="D4" s="26">
        <v>90.478199061698916</v>
      </c>
      <c r="E4" s="26">
        <v>90.524586429525058</v>
      </c>
      <c r="F4" s="26">
        <v>89.185007367422472</v>
      </c>
      <c r="G4" s="26">
        <v>86.609875517954293</v>
      </c>
      <c r="H4" s="27">
        <v>73.33662344253267</v>
      </c>
      <c r="I4" s="23" cm="1">
        <f t="array" ref="I4">-SUMPRODUCT((D1:H1-C1:G1)*(C4:G4+D4:H4)/2)</f>
        <v>80.026166604670735</v>
      </c>
      <c r="J4" s="24" t="str">
        <f t="shared" si="0"/>
        <v xml:space="preserve">    90.6641205085396, 90.4781990616989, 90.5245864295251, 89.1850073674225, 86.6098755179543, 73.3366234425327,</v>
      </c>
      <c r="K4" s="69" t="s">
        <v>17</v>
      </c>
      <c r="L4" s="70"/>
      <c r="M4" s="25">
        <v>3.5401754285279829</v>
      </c>
      <c r="N4" s="26">
        <v>3.9174920258854611</v>
      </c>
      <c r="O4" s="26">
        <v>3.9698130808052361</v>
      </c>
      <c r="P4" s="26">
        <v>5.5336035606832699</v>
      </c>
      <c r="Q4" s="26">
        <v>5.8457163898602484</v>
      </c>
      <c r="R4" s="27">
        <v>7.6914890661564108</v>
      </c>
    </row>
    <row r="5" spans="1:18" ht="15" thickBot="1" x14ac:dyDescent="0.25">
      <c r="A5" s="62" t="s">
        <v>29</v>
      </c>
      <c r="B5" s="43" t="s">
        <v>14</v>
      </c>
      <c r="C5" s="25">
        <v>92.198796414040501</v>
      </c>
      <c r="D5" s="26">
        <v>92.414992055871295</v>
      </c>
      <c r="E5" s="26">
        <v>92.060072607317821</v>
      </c>
      <c r="F5" s="26">
        <v>89.38247447353929</v>
      </c>
      <c r="G5" s="26">
        <v>84.585936441203344</v>
      </c>
      <c r="H5" s="27">
        <v>66.764098305348668</v>
      </c>
      <c r="I5" s="23" cm="1">
        <f t="array" ref="I5">-SUMPRODUCT((D1:H1-C1:G1)*(C5:G5+D5:H5)/2)</f>
        <v>80.546283632788075</v>
      </c>
      <c r="J5" s="24" t="str">
        <f t="shared" si="0"/>
        <v xml:space="preserve">    92.1987964140405, 92.4149920558713, 92.0600726073178, 89.3824744735393, 84.5859364412033, 66.7640983053487,</v>
      </c>
      <c r="K5" s="62" t="s">
        <v>29</v>
      </c>
      <c r="L5" s="43" t="s">
        <v>14</v>
      </c>
      <c r="M5" s="25">
        <v>4.0920825520660458</v>
      </c>
      <c r="N5" s="26">
        <v>3.6811518659313718</v>
      </c>
      <c r="O5" s="26">
        <v>3.85785796812947</v>
      </c>
      <c r="P5" s="26">
        <v>5.1846446465102227</v>
      </c>
      <c r="Q5" s="26">
        <v>5.651552347343773</v>
      </c>
      <c r="R5" s="27">
        <v>9.7038681323141347</v>
      </c>
    </row>
    <row r="6" spans="1:18" ht="15" customHeight="1" thickBot="1" x14ac:dyDescent="0.25">
      <c r="A6" s="62" t="s">
        <v>20</v>
      </c>
      <c r="B6" s="47" t="s">
        <v>14</v>
      </c>
      <c r="C6" s="31">
        <v>93.422812192723697</v>
      </c>
      <c r="D6" s="32">
        <v>91.884967286337556</v>
      </c>
      <c r="E6" s="32">
        <v>91.219278136777405</v>
      </c>
      <c r="F6" s="32">
        <v>89.511307767944942</v>
      </c>
      <c r="G6" s="32">
        <v>85.221786808997777</v>
      </c>
      <c r="H6" s="33">
        <v>69.864136656314784</v>
      </c>
      <c r="I6" s="23" cm="1">
        <f t="array" ref="I6">-SUMPRODUCT((D1:H1-C1:G1)*(C6:G6+D6:H6)/2)</f>
        <v>80.615512605357026</v>
      </c>
      <c r="J6" s="24" t="str">
        <f t="shared" si="0"/>
        <v xml:space="preserve">    93.4228121927237, 91.8849672863376, 91.2192781367774, 89.5113077679449, 85.2217868089978, 69.8641366563148,</v>
      </c>
      <c r="K6" s="62" t="s">
        <v>20</v>
      </c>
      <c r="L6" s="47" t="s">
        <v>14</v>
      </c>
      <c r="M6" s="31">
        <v>3.2252513660301281</v>
      </c>
      <c r="N6" s="32">
        <v>3.7972946157850411</v>
      </c>
      <c r="O6" s="32">
        <v>3.2633028119927521</v>
      </c>
      <c r="P6" s="32">
        <v>3.255882546679346</v>
      </c>
      <c r="Q6" s="32">
        <v>5.2317157915617392</v>
      </c>
      <c r="R6" s="33">
        <v>7.5625760189743341</v>
      </c>
    </row>
    <row r="7" spans="1:18" ht="15" thickBot="1" x14ac:dyDescent="0.25">
      <c r="A7" s="21"/>
      <c r="B7" s="22"/>
      <c r="C7" s="29"/>
      <c r="D7" s="29"/>
      <c r="E7" s="29"/>
      <c r="F7" s="29"/>
      <c r="G7" s="29"/>
      <c r="H7" s="30"/>
      <c r="I7" s="23"/>
      <c r="J7" s="24"/>
      <c r="K7" s="21"/>
      <c r="L7" s="22"/>
      <c r="M7" s="29"/>
      <c r="N7" s="29"/>
      <c r="O7" s="29"/>
      <c r="P7" s="29"/>
      <c r="Q7" s="29"/>
      <c r="R7" s="30"/>
    </row>
    <row r="8" spans="1:18" ht="30" customHeight="1" thickBot="1" x14ac:dyDescent="0.25">
      <c r="A8" s="71" t="s">
        <v>19</v>
      </c>
      <c r="B8" s="72"/>
      <c r="C8" s="72"/>
      <c r="D8" s="72"/>
      <c r="E8" s="72"/>
      <c r="F8" s="72"/>
      <c r="G8" s="72"/>
      <c r="H8" s="73"/>
      <c r="I8" s="23"/>
      <c r="J8" s="24"/>
      <c r="K8" s="71" t="s">
        <v>19</v>
      </c>
      <c r="L8" s="72"/>
      <c r="M8" s="72"/>
      <c r="N8" s="72"/>
      <c r="O8" s="72"/>
      <c r="P8" s="72"/>
      <c r="Q8" s="72"/>
      <c r="R8" s="73"/>
    </row>
    <row r="9" spans="1:18" x14ac:dyDescent="0.2">
      <c r="A9" s="74" t="s">
        <v>0</v>
      </c>
      <c r="B9" s="46" t="s">
        <v>1</v>
      </c>
      <c r="C9" s="28">
        <v>93.317606553689899</v>
      </c>
      <c r="D9" s="29">
        <v>92.820093599425576</v>
      </c>
      <c r="E9" s="29">
        <v>92.141598687416561</v>
      </c>
      <c r="F9" s="29">
        <v>90.823020383682675</v>
      </c>
      <c r="G9" s="29">
        <v>85.531250270331071</v>
      </c>
      <c r="H9" s="30">
        <v>65.196218537069228</v>
      </c>
      <c r="I9" s="23" cm="1">
        <f t="array" ref="I9">-SUMPRODUCT((D1:H1-C1:G1)*(C9:G9+D9:H9)/2)</f>
        <v>81.037972935175318</v>
      </c>
      <c r="J9" s="24" t="str">
        <f t="shared" ref="J9:J15" si="1">"    "&amp;_xlfn.TEXTJOIN(", ",TRUE,C9:H9)&amp;","</f>
        <v xml:space="preserve">    93.3176065536899, 92.8200935994256, 92.1415986874166, 90.8230203836827, 85.5312502703311, 65.1962185370692,</v>
      </c>
      <c r="K9" s="74" t="s">
        <v>0</v>
      </c>
      <c r="L9" s="46" t="s">
        <v>1</v>
      </c>
      <c r="M9" s="28">
        <v>3.620572914378736</v>
      </c>
      <c r="N9" s="29">
        <v>4.0706028935279264</v>
      </c>
      <c r="O9" s="29">
        <v>4.1023805425720701</v>
      </c>
      <c r="P9" s="29">
        <v>3.8189918305843129</v>
      </c>
      <c r="Q9" s="29">
        <v>5.7490786931677906</v>
      </c>
      <c r="R9" s="30">
        <v>7.8394132385069568</v>
      </c>
    </row>
    <row r="10" spans="1:18" x14ac:dyDescent="0.2">
      <c r="A10" s="75"/>
      <c r="B10" s="52" t="s">
        <v>2</v>
      </c>
      <c r="C10" s="35">
        <v>93.463126843657804</v>
      </c>
      <c r="D10" s="24">
        <v>92.175059184479693</v>
      </c>
      <c r="E10" s="24">
        <v>91.653982012531813</v>
      </c>
      <c r="F10" s="24">
        <v>89.164070046742054</v>
      </c>
      <c r="G10" s="24">
        <v>84.651389717904124</v>
      </c>
      <c r="H10" s="36">
        <v>64.461719680389393</v>
      </c>
      <c r="I10" s="23" cm="1">
        <f t="array" ref="I10">-SUMPRODUCT((D1:H1-C1:G1)*(C10:G10+D10:H10)/2)</f>
        <v>80.411637067217995</v>
      </c>
      <c r="J10" s="24" t="str">
        <f t="shared" si="1"/>
        <v xml:space="preserve">    93.4631268436578, 92.1750591844797, 91.6539820125318, 89.1640700467421, 84.6513897179041, 64.4617196803894,</v>
      </c>
      <c r="K10" s="75"/>
      <c r="L10" s="52" t="s">
        <v>2</v>
      </c>
      <c r="M10" s="35">
        <v>3.4757775499648642</v>
      </c>
      <c r="N10" s="24">
        <v>3.9625853214368441</v>
      </c>
      <c r="O10" s="24">
        <v>3.885694779483682</v>
      </c>
      <c r="P10" s="24">
        <v>4.0754338376519801</v>
      </c>
      <c r="Q10" s="24">
        <v>4.4754549782690392</v>
      </c>
      <c r="R10" s="36">
        <v>7.534222167299129</v>
      </c>
    </row>
    <row r="11" spans="1:18" x14ac:dyDescent="0.2">
      <c r="A11" s="75"/>
      <c r="B11" s="52" t="s">
        <v>3</v>
      </c>
      <c r="C11" s="35">
        <v>93.347099311701086</v>
      </c>
      <c r="D11" s="24">
        <v>92.384492945440726</v>
      </c>
      <c r="E11" s="24">
        <v>91.818173167587958</v>
      </c>
      <c r="F11" s="24">
        <v>89.664201247415633</v>
      </c>
      <c r="G11" s="24">
        <v>85.937401419274096</v>
      </c>
      <c r="H11" s="36">
        <v>66.951421148395156</v>
      </c>
      <c r="I11" s="23" cm="1">
        <f t="array" ref="I11">-SUMPRODUCT((D1:H1-C1:G1)*(C11:G11+D11:H11)/2)</f>
        <v>80.814540999489608</v>
      </c>
      <c r="J11" s="24" t="str">
        <f t="shared" si="1"/>
        <v xml:space="preserve">    93.3470993117011, 92.3844929454407, 91.818173167588, 89.6642012474156, 85.9374014192741, 66.9514211483952,</v>
      </c>
      <c r="K11" s="75"/>
      <c r="L11" s="52" t="s">
        <v>3</v>
      </c>
      <c r="M11" s="35">
        <v>3.617035107453527</v>
      </c>
      <c r="N11" s="24">
        <v>3.8495808870120838</v>
      </c>
      <c r="O11" s="24">
        <v>3.96739410444094</v>
      </c>
      <c r="P11" s="24">
        <v>4.2778681212111698</v>
      </c>
      <c r="Q11" s="24">
        <v>5.3469667369193479</v>
      </c>
      <c r="R11" s="36">
        <v>6.7029521369038161</v>
      </c>
    </row>
    <row r="12" spans="1:18" x14ac:dyDescent="0.2">
      <c r="A12" s="75"/>
      <c r="B12" s="52" t="s">
        <v>4</v>
      </c>
      <c r="C12" s="35">
        <v>93.093423530191998</v>
      </c>
      <c r="D12" s="24">
        <v>92.032529116457198</v>
      </c>
      <c r="E12" s="24">
        <v>91.460223127651048</v>
      </c>
      <c r="F12" s="24">
        <v>89.435744830549297</v>
      </c>
      <c r="G12" s="24">
        <v>82.989377070735912</v>
      </c>
      <c r="H12" s="36">
        <v>58.198897337635557</v>
      </c>
      <c r="I12" s="23" cm="1">
        <f t="array" ref="I12">-SUMPRODUCT((D1:H1-C1:G1)*(C12:G12+D12:H12)/2)</f>
        <v>79.847604722647546</v>
      </c>
      <c r="J12" s="24" t="str">
        <f t="shared" si="1"/>
        <v xml:space="preserve">    93.093423530192, 92.0325291164572, 91.460223127651, 89.4357448305493, 82.9893770707359, 58.1988973376356,</v>
      </c>
      <c r="K12" s="75"/>
      <c r="L12" s="52" t="s">
        <v>4</v>
      </c>
      <c r="M12" s="35">
        <v>3.7255345666418358</v>
      </c>
      <c r="N12" s="24">
        <v>4.014745502640432</v>
      </c>
      <c r="O12" s="24">
        <v>4.0186014047538423</v>
      </c>
      <c r="P12" s="24">
        <v>4.2976843001776297</v>
      </c>
      <c r="Q12" s="24">
        <v>5.4463720180523856</v>
      </c>
      <c r="R12" s="36">
        <v>8.0197439606429093</v>
      </c>
    </row>
    <row r="13" spans="1:18" x14ac:dyDescent="0.2">
      <c r="A13" s="75"/>
      <c r="B13" s="52" t="s">
        <v>5</v>
      </c>
      <c r="C13" s="35">
        <v>93.419862340216341</v>
      </c>
      <c r="D13" s="24">
        <v>92.73453634258658</v>
      </c>
      <c r="E13" s="24">
        <v>92.271397964803597</v>
      </c>
      <c r="F13" s="24">
        <v>90.714945631017542</v>
      </c>
      <c r="G13" s="24">
        <v>87.998904258110642</v>
      </c>
      <c r="H13" s="36">
        <v>66.196847146889979</v>
      </c>
      <c r="I13" s="23" cm="1">
        <f t="array" ref="I13">-SUMPRODUCT((D1:H1-C1:G1)*(C13:G13+D13:H13)/2)</f>
        <v>81.339156048062691</v>
      </c>
      <c r="J13" s="24" t="str">
        <f t="shared" si="1"/>
        <v xml:space="preserve">    93.4198623402163, 92.7345363425866, 92.2713979648036, 90.7149456310175, 87.9989042581106, 66.19684714689,</v>
      </c>
      <c r="K13" s="75"/>
      <c r="L13" s="52" t="s">
        <v>5</v>
      </c>
      <c r="M13" s="35">
        <v>3.5802828134576741</v>
      </c>
      <c r="N13" s="24">
        <v>4.0559403662333304</v>
      </c>
      <c r="O13" s="24">
        <v>4.0480488735099982</v>
      </c>
      <c r="P13" s="24">
        <v>3.9309187760649582</v>
      </c>
      <c r="Q13" s="24">
        <v>4.5469182893231572</v>
      </c>
      <c r="R13" s="36">
        <v>8.4486501587333311</v>
      </c>
    </row>
    <row r="14" spans="1:18" x14ac:dyDescent="0.2">
      <c r="A14" s="75"/>
      <c r="B14" s="52" t="s">
        <v>6</v>
      </c>
      <c r="C14" s="35">
        <v>93.423795476892835</v>
      </c>
      <c r="D14" s="24">
        <v>92.436607006404302</v>
      </c>
      <c r="E14" s="24">
        <v>92.06983624425817</v>
      </c>
      <c r="F14" s="24">
        <v>89.286109741433748</v>
      </c>
      <c r="G14" s="24">
        <v>85.108270832792655</v>
      </c>
      <c r="H14" s="36">
        <v>62.343982214379018</v>
      </c>
      <c r="I14" s="23" cm="1">
        <f t="array" ref="I14">-SUMPRODUCT((D1:H1-C1:G1)*(C14:G14+D14:H14)/2)</f>
        <v>80.523781996384059</v>
      </c>
      <c r="J14" s="24" t="str">
        <f t="shared" si="1"/>
        <v xml:space="preserve">    93.4237954768928, 92.4366070064043, 92.0698362442582, 89.2861097414337, 85.1082708327927, 62.343982214379,</v>
      </c>
      <c r="K14" s="75"/>
      <c r="L14" s="52" t="s">
        <v>6</v>
      </c>
      <c r="M14" s="35">
        <v>3.2978061069729612</v>
      </c>
      <c r="N14" s="24">
        <v>3.839215727245314</v>
      </c>
      <c r="O14" s="24">
        <v>3.8733063090154749</v>
      </c>
      <c r="P14" s="24">
        <v>4.7219853917428987</v>
      </c>
      <c r="Q14" s="24">
        <v>4.6095110377486659</v>
      </c>
      <c r="R14" s="36">
        <v>7.4833403587430967</v>
      </c>
    </row>
    <row r="15" spans="1:18" ht="15" thickBot="1" x14ac:dyDescent="0.25">
      <c r="A15" s="76"/>
      <c r="B15" s="53" t="s">
        <v>7</v>
      </c>
      <c r="C15" s="31">
        <v>93.496558505408061</v>
      </c>
      <c r="D15" s="32">
        <v>92.713881607972368</v>
      </c>
      <c r="E15" s="32">
        <v>92.345144277488018</v>
      </c>
      <c r="F15" s="32">
        <v>91.007644241443856</v>
      </c>
      <c r="G15" s="32">
        <v>87.33424741275158</v>
      </c>
      <c r="H15" s="33">
        <v>66.065300449542534</v>
      </c>
      <c r="I15" s="23" cm="1">
        <f t="array" ref="I15">-SUMPRODUCT((D1:H1-C1:G1)*(C15:G15+D15:H15)/2)</f>
        <v>81.331034077572767</v>
      </c>
      <c r="J15" s="24" t="str">
        <f t="shared" si="1"/>
        <v xml:space="preserve">    93.4965585054081, 92.7138816079724, 92.345144277488, 91.0076442414439, 87.3342474127516, 66.0653004495425,</v>
      </c>
      <c r="K15" s="76"/>
      <c r="L15" s="53" t="s">
        <v>7</v>
      </c>
      <c r="M15" s="31">
        <v>3.2641574966856459</v>
      </c>
      <c r="N15" s="32">
        <v>3.7852815333164131</v>
      </c>
      <c r="O15" s="32">
        <v>3.7326595731051659</v>
      </c>
      <c r="P15" s="32">
        <v>3.96639977555613</v>
      </c>
      <c r="Q15" s="32">
        <v>5.1850656746920443</v>
      </c>
      <c r="R15" s="33">
        <v>8.2474642193386618</v>
      </c>
    </row>
    <row r="16" spans="1:18" ht="15" thickBot="1" x14ac:dyDescent="0.25">
      <c r="A16" s="34"/>
      <c r="B16" s="23"/>
      <c r="C16" s="24"/>
      <c r="D16" s="24"/>
      <c r="E16" s="24"/>
      <c r="F16" s="24"/>
      <c r="G16" s="24"/>
      <c r="H16" s="36"/>
      <c r="I16" s="23"/>
      <c r="J16" s="24"/>
      <c r="K16" s="34"/>
      <c r="L16" s="23"/>
      <c r="M16" s="24"/>
      <c r="N16" s="24"/>
      <c r="O16" s="24"/>
      <c r="P16" s="24"/>
      <c r="Q16" s="24"/>
      <c r="R16" s="36"/>
    </row>
    <row r="17" spans="1:18" ht="30" customHeight="1" thickBot="1" x14ac:dyDescent="0.25">
      <c r="A17" s="71" t="s">
        <v>18</v>
      </c>
      <c r="B17" s="72"/>
      <c r="C17" s="72"/>
      <c r="D17" s="72"/>
      <c r="E17" s="72"/>
      <c r="F17" s="72"/>
      <c r="G17" s="72"/>
      <c r="H17" s="73"/>
      <c r="I17" s="23"/>
      <c r="J17" s="24"/>
      <c r="K17" s="71" t="s">
        <v>18</v>
      </c>
      <c r="L17" s="72"/>
      <c r="M17" s="72"/>
      <c r="N17" s="72"/>
      <c r="O17" s="72"/>
      <c r="P17" s="72"/>
      <c r="Q17" s="72"/>
      <c r="R17" s="73"/>
    </row>
    <row r="18" spans="1:18" x14ac:dyDescent="0.2">
      <c r="A18" s="74" t="s">
        <v>0</v>
      </c>
      <c r="B18" s="48" t="s">
        <v>1</v>
      </c>
      <c r="C18" s="29"/>
      <c r="D18" s="29"/>
      <c r="E18" s="29"/>
      <c r="F18" s="29"/>
      <c r="G18" s="29"/>
      <c r="H18" s="30"/>
      <c r="I18" s="23" cm="1">
        <f t="array" ref="I18">-SUMPRODUCT((D1:H1-C1:G1)*(C18:G18+D18:H18)/2)</f>
        <v>0</v>
      </c>
      <c r="J18" s="24" t="str">
        <f t="shared" ref="J18:J24" si="2">"    "&amp;_xlfn.TEXTJOIN(", ",TRUE,C18:H18)&amp;","</f>
        <v xml:space="preserve">    ,</v>
      </c>
      <c r="K18" s="74" t="s">
        <v>0</v>
      </c>
      <c r="L18" s="48" t="s">
        <v>1</v>
      </c>
      <c r="M18" s="29"/>
      <c r="N18" s="29"/>
      <c r="O18" s="29"/>
      <c r="P18" s="29"/>
      <c r="Q18" s="29"/>
      <c r="R18" s="30"/>
    </row>
    <row r="19" spans="1:18" x14ac:dyDescent="0.2">
      <c r="A19" s="75"/>
      <c r="B19" s="51" t="s">
        <v>2</v>
      </c>
      <c r="C19" s="24"/>
      <c r="D19" s="24"/>
      <c r="E19" s="24"/>
      <c r="F19" s="24"/>
      <c r="G19" s="24"/>
      <c r="H19" s="36"/>
      <c r="I19" s="23" cm="1">
        <f t="array" ref="I19">-SUMPRODUCT((D1:H1-C1:G1)*(C19:G19+D19:H19)/2)</f>
        <v>0</v>
      </c>
      <c r="J19" s="24" t="str">
        <f t="shared" si="2"/>
        <v xml:space="preserve">    ,</v>
      </c>
      <c r="K19" s="75"/>
      <c r="L19" s="51" t="s">
        <v>2</v>
      </c>
      <c r="M19" s="24"/>
      <c r="N19" s="24"/>
      <c r="O19" s="24"/>
      <c r="P19" s="24"/>
      <c r="Q19" s="24"/>
      <c r="R19" s="36"/>
    </row>
    <row r="20" spans="1:18" x14ac:dyDescent="0.2">
      <c r="A20" s="75"/>
      <c r="B20" s="51" t="s">
        <v>3</v>
      </c>
      <c r="C20" s="24"/>
      <c r="D20" s="24"/>
      <c r="E20" s="24"/>
      <c r="F20" s="24"/>
      <c r="G20" s="24"/>
      <c r="H20" s="36"/>
      <c r="I20" s="23" cm="1">
        <f t="array" ref="I20">-SUMPRODUCT((D1:H1-C1:G1)*(C20:G20+D20:H20)/2)</f>
        <v>0</v>
      </c>
      <c r="J20" s="24" t="str">
        <f t="shared" si="2"/>
        <v xml:space="preserve">    ,</v>
      </c>
      <c r="K20" s="75"/>
      <c r="L20" s="51" t="s">
        <v>3</v>
      </c>
      <c r="M20" s="24"/>
      <c r="N20" s="24"/>
      <c r="O20" s="24"/>
      <c r="P20" s="24"/>
      <c r="Q20" s="24"/>
      <c r="R20" s="36"/>
    </row>
    <row r="21" spans="1:18" x14ac:dyDescent="0.2">
      <c r="A21" s="75"/>
      <c r="B21" s="51" t="s">
        <v>4</v>
      </c>
      <c r="C21" s="24"/>
      <c r="D21" s="24"/>
      <c r="E21" s="24"/>
      <c r="F21" s="24"/>
      <c r="G21" s="24"/>
      <c r="H21" s="36"/>
      <c r="I21" s="23" cm="1">
        <f t="array" ref="I21">-SUMPRODUCT((D1:H1-C1:G1)*(C21:G21+D21:H21)/2)</f>
        <v>0</v>
      </c>
      <c r="J21" s="24" t="str">
        <f t="shared" si="2"/>
        <v xml:space="preserve">    ,</v>
      </c>
      <c r="K21" s="75"/>
      <c r="L21" s="51" t="s">
        <v>4</v>
      </c>
      <c r="M21" s="24"/>
      <c r="N21" s="24"/>
      <c r="O21" s="24"/>
      <c r="P21" s="24"/>
      <c r="Q21" s="24"/>
      <c r="R21" s="36"/>
    </row>
    <row r="22" spans="1:18" x14ac:dyDescent="0.2">
      <c r="A22" s="75"/>
      <c r="B22" s="51" t="s">
        <v>5</v>
      </c>
      <c r="C22" s="24"/>
      <c r="D22" s="24"/>
      <c r="E22" s="24"/>
      <c r="F22" s="24"/>
      <c r="G22" s="24"/>
      <c r="H22" s="36"/>
      <c r="I22" s="23" cm="1">
        <f t="array" ref="I22">-SUMPRODUCT((D1:H1-C1:G1)*(C22:G22+D22:H22)/2)</f>
        <v>0</v>
      </c>
      <c r="J22" s="24" t="str">
        <f t="shared" si="2"/>
        <v xml:space="preserve">    ,</v>
      </c>
      <c r="K22" s="75"/>
      <c r="L22" s="51" t="s">
        <v>5</v>
      </c>
      <c r="M22" s="24"/>
      <c r="N22" s="24"/>
      <c r="O22" s="24"/>
      <c r="P22" s="24"/>
      <c r="Q22" s="24"/>
      <c r="R22" s="36"/>
    </row>
    <row r="23" spans="1:18" x14ac:dyDescent="0.2">
      <c r="A23" s="75"/>
      <c r="B23" s="51" t="s">
        <v>6</v>
      </c>
      <c r="C23" s="24"/>
      <c r="D23" s="24"/>
      <c r="E23" s="24"/>
      <c r="F23" s="24"/>
      <c r="G23" s="24"/>
      <c r="H23" s="36"/>
      <c r="I23" s="23" cm="1">
        <f t="array" ref="I23">-SUMPRODUCT((D1:H1-C1:G1)*(C23:G23+D23:H23)/2)</f>
        <v>0</v>
      </c>
      <c r="J23" s="24" t="str">
        <f t="shared" si="2"/>
        <v xml:space="preserve">    ,</v>
      </c>
      <c r="K23" s="75"/>
      <c r="L23" s="51" t="s">
        <v>6</v>
      </c>
      <c r="M23" s="24"/>
      <c r="N23" s="24"/>
      <c r="O23" s="24"/>
      <c r="P23" s="24"/>
      <c r="Q23" s="24"/>
      <c r="R23" s="36"/>
    </row>
    <row r="24" spans="1:18" ht="14.25" customHeight="1" thickBot="1" x14ac:dyDescent="0.25">
      <c r="A24" s="76"/>
      <c r="B24" s="50" t="s">
        <v>7</v>
      </c>
      <c r="C24" s="32"/>
      <c r="D24" s="32"/>
      <c r="E24" s="32"/>
      <c r="F24" s="32"/>
      <c r="G24" s="32"/>
      <c r="H24" s="33"/>
      <c r="I24" s="23" cm="1">
        <f t="array" ref="I24">-SUMPRODUCT((D1:H1-C1:G1)*(C24:G24+D24:H24)/2)</f>
        <v>0</v>
      </c>
      <c r="J24" s="24" t="str">
        <f t="shared" si="2"/>
        <v xml:space="preserve">    ,</v>
      </c>
      <c r="K24" s="76"/>
      <c r="L24" s="50" t="s">
        <v>7</v>
      </c>
      <c r="M24" s="32"/>
      <c r="N24" s="32"/>
      <c r="O24" s="32"/>
      <c r="P24" s="32"/>
      <c r="Q24" s="32"/>
      <c r="R24" s="33"/>
    </row>
    <row r="25" spans="1:18" ht="15" thickBot="1" x14ac:dyDescent="0.25"/>
    <row r="26" spans="1:18" ht="15" thickBot="1" x14ac:dyDescent="0.25">
      <c r="A26" s="66" t="s">
        <v>26</v>
      </c>
      <c r="B26" s="55" t="s">
        <v>25</v>
      </c>
      <c r="C26" s="57">
        <v>1</v>
      </c>
      <c r="D26" s="57">
        <v>0.75</v>
      </c>
      <c r="E26" s="57">
        <v>0.5</v>
      </c>
      <c r="F26" s="57">
        <v>0.3</v>
      </c>
      <c r="G26" s="57">
        <v>0.2</v>
      </c>
      <c r="H26" s="55">
        <v>0.1</v>
      </c>
      <c r="I26" s="3"/>
      <c r="J26" s="4"/>
      <c r="K26" s="66" t="s">
        <v>27</v>
      </c>
      <c r="L26" s="55" t="s">
        <v>25</v>
      </c>
      <c r="M26" s="59">
        <v>1</v>
      </c>
      <c r="N26" s="59">
        <v>0.75</v>
      </c>
      <c r="O26" s="59">
        <v>0.5</v>
      </c>
      <c r="P26" s="59">
        <v>0.3</v>
      </c>
      <c r="Q26" s="59">
        <v>0.2</v>
      </c>
      <c r="R26" s="60">
        <v>0.1</v>
      </c>
    </row>
    <row r="27" spans="1:18" ht="15" thickBot="1" x14ac:dyDescent="0.25">
      <c r="A27" s="77" t="s">
        <v>28</v>
      </c>
      <c r="B27" s="78"/>
      <c r="C27" s="5">
        <v>92.866950218042462</v>
      </c>
      <c r="D27" s="6">
        <v>91.242690764745561</v>
      </c>
      <c r="E27" s="6">
        <v>90.137053227698445</v>
      </c>
      <c r="F27" s="6">
        <v>86.080152926613408</v>
      </c>
      <c r="G27" s="6">
        <v>77.410217255196784</v>
      </c>
      <c r="H27" s="7">
        <v>59.676194764980139</v>
      </c>
      <c r="I27" s="4"/>
      <c r="J27" s="4"/>
      <c r="K27" s="77" t="s">
        <v>28</v>
      </c>
      <c r="L27" s="78"/>
      <c r="M27" s="5">
        <v>3.8319643020864191</v>
      </c>
      <c r="N27" s="6">
        <v>4.3603246705255447</v>
      </c>
      <c r="O27" s="6">
        <v>4.7987735191879262</v>
      </c>
      <c r="P27" s="6">
        <v>5.1262965367330251</v>
      </c>
      <c r="Q27" s="6">
        <v>7.087258799823358</v>
      </c>
      <c r="R27" s="7">
        <v>9.7457736576346736</v>
      </c>
    </row>
    <row r="28" spans="1:18" ht="15" thickBot="1" x14ac:dyDescent="0.25">
      <c r="A28" s="67" t="s">
        <v>16</v>
      </c>
      <c r="B28" s="68"/>
      <c r="C28" s="8">
        <v>90.52770446578225</v>
      </c>
      <c r="D28" s="9">
        <v>90.342410185071145</v>
      </c>
      <c r="E28" s="9">
        <v>88.855134780158878</v>
      </c>
      <c r="F28" s="9">
        <v>86.392551450858122</v>
      </c>
      <c r="G28" s="9">
        <v>83.730938565201825</v>
      </c>
      <c r="H28" s="10">
        <v>62.869764156729879</v>
      </c>
      <c r="I28" s="4"/>
      <c r="J28" s="4"/>
      <c r="K28" s="67" t="s">
        <v>16</v>
      </c>
      <c r="L28" s="68"/>
      <c r="M28" s="5">
        <v>4.0901656450530481</v>
      </c>
      <c r="N28" s="6">
        <v>4.6901296175247245</v>
      </c>
      <c r="O28" s="6">
        <v>5.7331503658977514</v>
      </c>
      <c r="P28" s="6">
        <v>7.1150709678028736</v>
      </c>
      <c r="Q28" s="6">
        <v>7.2945876922705306</v>
      </c>
      <c r="R28" s="7">
        <v>11.39436528430654</v>
      </c>
    </row>
    <row r="29" spans="1:18" ht="15" thickBot="1" x14ac:dyDescent="0.25">
      <c r="A29" s="67" t="s">
        <v>17</v>
      </c>
      <c r="B29" s="68"/>
      <c r="C29" s="5">
        <v>89.97817765654861</v>
      </c>
      <c r="D29" s="6">
        <v>89.843877293314875</v>
      </c>
      <c r="E29" s="6">
        <v>89.806880369940572</v>
      </c>
      <c r="F29" s="6">
        <v>88.456307031391773</v>
      </c>
      <c r="G29" s="6">
        <v>85.874347222050872</v>
      </c>
      <c r="H29" s="7">
        <v>72.361626989881074</v>
      </c>
      <c r="I29" s="4"/>
      <c r="J29" s="4"/>
      <c r="K29" s="67" t="s">
        <v>17</v>
      </c>
      <c r="L29" s="68"/>
      <c r="M29" s="5">
        <v>3.9649646983544202</v>
      </c>
      <c r="N29" s="6">
        <v>4.170593930476838</v>
      </c>
      <c r="O29" s="6">
        <v>4.2923972045274397</v>
      </c>
      <c r="P29" s="6">
        <v>6.0979560195091933</v>
      </c>
      <c r="Q29" s="6">
        <v>6.2812773129576227</v>
      </c>
      <c r="R29" s="7">
        <v>8.3484452530393831</v>
      </c>
    </row>
    <row r="30" spans="1:18" ht="15" thickBot="1" x14ac:dyDescent="0.25">
      <c r="A30" s="65" t="s">
        <v>29</v>
      </c>
      <c r="B30" s="54" t="s">
        <v>14</v>
      </c>
      <c r="C30" s="5">
        <v>91.774607805301983</v>
      </c>
      <c r="D30" s="6">
        <v>91.995252385465662</v>
      </c>
      <c r="E30" s="6">
        <v>91.677335926075884</v>
      </c>
      <c r="F30" s="6">
        <v>88.879299451861826</v>
      </c>
      <c r="G30" s="6">
        <v>83.985258595887942</v>
      </c>
      <c r="H30" s="7">
        <v>65.731292630891019</v>
      </c>
      <c r="I30" s="4"/>
      <c r="J30" s="4"/>
      <c r="K30" s="65" t="s">
        <v>29</v>
      </c>
      <c r="L30" s="54" t="s">
        <v>14</v>
      </c>
      <c r="M30" s="5">
        <v>4.4544832367332772</v>
      </c>
      <c r="N30" s="6">
        <v>4.0297709477642663</v>
      </c>
      <c r="O30" s="6">
        <v>4.1710876436936273</v>
      </c>
      <c r="P30" s="6">
        <v>5.4579882837225497</v>
      </c>
      <c r="Q30" s="6">
        <v>5.9477145691105049</v>
      </c>
      <c r="R30" s="7">
        <v>10.175415058463971</v>
      </c>
    </row>
    <row r="31" spans="1:18" ht="15" thickBot="1" x14ac:dyDescent="0.25">
      <c r="A31" s="65" t="s">
        <v>20</v>
      </c>
      <c r="B31" s="66" t="s">
        <v>14</v>
      </c>
      <c r="C31" s="5">
        <v>92.976160289720326</v>
      </c>
      <c r="D31" s="6">
        <v>91.458234182656923</v>
      </c>
      <c r="E31" s="6">
        <v>90.726064532321843</v>
      </c>
      <c r="F31" s="6">
        <v>89.020295751977415</v>
      </c>
      <c r="G31" s="6">
        <v>84.508536749906014</v>
      </c>
      <c r="H31" s="7">
        <v>68.710875881175554</v>
      </c>
      <c r="I31" s="4"/>
      <c r="J31" s="4"/>
      <c r="K31" s="65" t="s">
        <v>20</v>
      </c>
      <c r="L31" s="66" t="s">
        <v>14</v>
      </c>
      <c r="M31" s="5">
        <v>3.621821167197139</v>
      </c>
      <c r="N31" s="6">
        <v>4.0726710380082025</v>
      </c>
      <c r="O31" s="6">
        <v>3.4884808134500442</v>
      </c>
      <c r="P31" s="6">
        <v>3.3964980255654078</v>
      </c>
      <c r="Q31" s="6">
        <v>5.6839465833440732</v>
      </c>
      <c r="R31" s="7">
        <v>8.1802984888020767</v>
      </c>
    </row>
    <row r="32" spans="1:18" ht="15" thickBot="1" x14ac:dyDescent="0.25">
      <c r="A32" s="11"/>
      <c r="B32" s="12"/>
      <c r="C32" s="13"/>
      <c r="D32" s="13"/>
      <c r="E32" s="13"/>
      <c r="F32" s="13"/>
      <c r="G32" s="13"/>
      <c r="H32" s="14"/>
      <c r="I32" s="15"/>
      <c r="J32" s="4"/>
      <c r="K32" s="11"/>
      <c r="L32" s="12"/>
      <c r="M32" s="13"/>
      <c r="N32" s="13"/>
      <c r="O32" s="13"/>
      <c r="P32" s="13"/>
      <c r="Q32" s="13"/>
      <c r="R32" s="14"/>
    </row>
    <row r="33" spans="1:18" ht="15" thickBot="1" x14ac:dyDescent="0.25">
      <c r="A33" s="79" t="s">
        <v>19</v>
      </c>
      <c r="B33" s="80"/>
      <c r="C33" s="80"/>
      <c r="D33" s="80"/>
      <c r="E33" s="80"/>
      <c r="F33" s="80"/>
      <c r="G33" s="80"/>
      <c r="H33" s="81"/>
      <c r="I33" s="3"/>
      <c r="J33" s="4"/>
      <c r="K33" s="79" t="s">
        <v>19</v>
      </c>
      <c r="L33" s="80"/>
      <c r="M33" s="80"/>
      <c r="N33" s="80"/>
      <c r="O33" s="80"/>
      <c r="P33" s="80"/>
      <c r="Q33" s="80"/>
      <c r="R33" s="81"/>
    </row>
    <row r="34" spans="1:18" x14ac:dyDescent="0.2">
      <c r="A34" s="82" t="s">
        <v>0</v>
      </c>
      <c r="B34" s="58" t="s">
        <v>1</v>
      </c>
      <c r="C34" s="8">
        <v>92.930661960970482</v>
      </c>
      <c r="D34" s="9">
        <v>92.466346589819949</v>
      </c>
      <c r="E34" s="9">
        <v>91.78392331634663</v>
      </c>
      <c r="F34" s="9">
        <v>90.491730813295305</v>
      </c>
      <c r="G34" s="9">
        <v>85.013566770989001</v>
      </c>
      <c r="H34" s="10">
        <v>64.482797212114178</v>
      </c>
      <c r="I34" s="4"/>
      <c r="J34" s="4"/>
      <c r="K34" s="82" t="s">
        <v>0</v>
      </c>
      <c r="L34" s="58" t="s">
        <v>1</v>
      </c>
      <c r="M34" s="8">
        <v>3.9550266064014323</v>
      </c>
      <c r="N34" s="9">
        <v>4.3658051402574474</v>
      </c>
      <c r="O34" s="9">
        <v>4.3813061690546569</v>
      </c>
      <c r="P34" s="9">
        <v>4.0052196073831112</v>
      </c>
      <c r="Q34" s="9">
        <v>6.1653048157430339</v>
      </c>
      <c r="R34" s="10">
        <v>8.0935811451150599</v>
      </c>
    </row>
    <row r="35" spans="1:18" x14ac:dyDescent="0.2">
      <c r="A35" s="83"/>
      <c r="B35" s="61" t="s">
        <v>2</v>
      </c>
      <c r="C35" s="16">
        <v>93.091828978938523</v>
      </c>
      <c r="D35" s="4">
        <v>91.816438491814012</v>
      </c>
      <c r="E35" s="4">
        <v>91.294211183013203</v>
      </c>
      <c r="F35" s="4">
        <v>88.679974438278407</v>
      </c>
      <c r="G35" s="4">
        <v>83.996989069550324</v>
      </c>
      <c r="H35" s="17">
        <v>63.603124077705665</v>
      </c>
      <c r="I35" s="4"/>
      <c r="J35" s="4"/>
      <c r="K35" s="83"/>
      <c r="L35" s="61" t="s">
        <v>2</v>
      </c>
      <c r="M35" s="16">
        <v>3.8179364837137477</v>
      </c>
      <c r="N35" s="4">
        <v>4.1921650670878448</v>
      </c>
      <c r="O35" s="4">
        <v>4.1546303917469922</v>
      </c>
      <c r="P35" s="4">
        <v>4.3418762018177972</v>
      </c>
      <c r="Q35" s="4">
        <v>4.7010261529570423</v>
      </c>
      <c r="R35" s="17">
        <v>7.7610004583710603</v>
      </c>
    </row>
    <row r="36" spans="1:18" x14ac:dyDescent="0.2">
      <c r="A36" s="83"/>
      <c r="B36" s="61" t="s">
        <v>3</v>
      </c>
      <c r="C36" s="16">
        <v>92.89620921469286</v>
      </c>
      <c r="D36" s="4">
        <v>92.012300359222834</v>
      </c>
      <c r="E36" s="4">
        <v>91.448459960320221</v>
      </c>
      <c r="F36" s="4">
        <v>89.249194645031722</v>
      </c>
      <c r="G36" s="4">
        <v>85.479844202581788</v>
      </c>
      <c r="H36" s="17">
        <v>66.276897457268447</v>
      </c>
      <c r="I36" s="4"/>
      <c r="J36" s="4"/>
      <c r="K36" s="83"/>
      <c r="L36" s="61" t="s">
        <v>3</v>
      </c>
      <c r="M36" s="16">
        <v>3.9891534684396719</v>
      </c>
      <c r="N36" s="4">
        <v>4.1368051983963641</v>
      </c>
      <c r="O36" s="4">
        <v>4.2694279150350241</v>
      </c>
      <c r="P36" s="4">
        <v>4.4161337551690227</v>
      </c>
      <c r="Q36" s="4">
        <v>5.6551403001750238</v>
      </c>
      <c r="R36" s="17">
        <v>6.8867924524838617</v>
      </c>
    </row>
    <row r="37" spans="1:18" x14ac:dyDescent="0.2">
      <c r="A37" s="83"/>
      <c r="B37" s="61" t="s">
        <v>4</v>
      </c>
      <c r="C37" s="16">
        <v>92.735279794691138</v>
      </c>
      <c r="D37" s="4">
        <v>91.664680530833593</v>
      </c>
      <c r="E37" s="4">
        <v>91.044276855644057</v>
      </c>
      <c r="F37" s="4">
        <v>89.059716819932788</v>
      </c>
      <c r="G37" s="4">
        <v>82.559219226002583</v>
      </c>
      <c r="H37" s="17">
        <v>56.911896986388975</v>
      </c>
      <c r="I37" s="4"/>
      <c r="J37" s="4"/>
      <c r="K37" s="83"/>
      <c r="L37" s="61" t="s">
        <v>4</v>
      </c>
      <c r="M37" s="16">
        <v>4.0434132241778213</v>
      </c>
      <c r="N37" s="4">
        <v>4.2691437950202129</v>
      </c>
      <c r="O37" s="4">
        <v>4.340477664588267</v>
      </c>
      <c r="P37" s="4">
        <v>4.5058698538787123</v>
      </c>
      <c r="Q37" s="4">
        <v>5.6232311188231616</v>
      </c>
      <c r="R37" s="17">
        <v>8.593216541703864</v>
      </c>
    </row>
    <row r="38" spans="1:18" x14ac:dyDescent="0.2">
      <c r="A38" s="83"/>
      <c r="B38" s="61" t="s">
        <v>5</v>
      </c>
      <c r="C38" s="16">
        <v>93.080002011501648</v>
      </c>
      <c r="D38" s="4">
        <v>92.404699684527174</v>
      </c>
      <c r="E38" s="4">
        <v>91.954665470304633</v>
      </c>
      <c r="F38" s="4">
        <v>90.330159265971631</v>
      </c>
      <c r="G38" s="4">
        <v>87.581623871243721</v>
      </c>
      <c r="H38" s="17">
        <v>65.444409478323934</v>
      </c>
      <c r="I38" s="4"/>
      <c r="J38" s="4"/>
      <c r="K38" s="83"/>
      <c r="L38" s="61" t="s">
        <v>5</v>
      </c>
      <c r="M38" s="16">
        <v>3.9102661302704655</v>
      </c>
      <c r="N38" s="4">
        <v>4.3598859096399458</v>
      </c>
      <c r="O38" s="4">
        <v>4.2712793015123891</v>
      </c>
      <c r="P38" s="4">
        <v>4.1574178865306539</v>
      </c>
      <c r="Q38" s="4">
        <v>4.7707037217115724</v>
      </c>
      <c r="R38" s="17">
        <v>8.6315293901629762</v>
      </c>
    </row>
    <row r="39" spans="1:18" x14ac:dyDescent="0.2">
      <c r="A39" s="83"/>
      <c r="B39" s="61" t="s">
        <v>6</v>
      </c>
      <c r="C39" s="16">
        <v>92.97183841556577</v>
      </c>
      <c r="D39" s="4">
        <v>92.103907277651757</v>
      </c>
      <c r="E39" s="4">
        <v>91.729197391076127</v>
      </c>
      <c r="F39" s="4">
        <v>88.909951088566785</v>
      </c>
      <c r="G39" s="4">
        <v>84.714894537983682</v>
      </c>
      <c r="H39" s="17">
        <v>61.620187860136021</v>
      </c>
      <c r="I39" s="4"/>
      <c r="J39" s="4"/>
      <c r="K39" s="83"/>
      <c r="L39" s="61" t="s">
        <v>6</v>
      </c>
      <c r="M39" s="16">
        <v>3.6900964523635289</v>
      </c>
      <c r="N39" s="4">
        <v>4.0982333495079848</v>
      </c>
      <c r="O39" s="4">
        <v>4.1424958783803678</v>
      </c>
      <c r="P39" s="4">
        <v>4.9147660267528899</v>
      </c>
      <c r="Q39" s="4">
        <v>4.7218856274545509</v>
      </c>
      <c r="R39" s="17">
        <v>7.8718932836851945</v>
      </c>
    </row>
    <row r="40" spans="1:18" ht="15" thickBot="1" x14ac:dyDescent="0.25">
      <c r="A40" s="84"/>
      <c r="B40" s="56" t="s">
        <v>7</v>
      </c>
      <c r="C40" s="18">
        <v>92.735279794691138</v>
      </c>
      <c r="D40" s="19">
        <v>91.664680530833593</v>
      </c>
      <c r="E40" s="19">
        <v>91.044276855644057</v>
      </c>
      <c r="F40" s="19">
        <v>89.059716819932788</v>
      </c>
      <c r="G40" s="19">
        <v>82.559219226002583</v>
      </c>
      <c r="H40" s="20">
        <v>56.911896986388975</v>
      </c>
      <c r="I40" s="4"/>
      <c r="J40" s="4"/>
      <c r="K40" s="84"/>
      <c r="L40" s="56" t="s">
        <v>7</v>
      </c>
      <c r="M40" s="18">
        <v>4.0434132241778213</v>
      </c>
      <c r="N40" s="19">
        <v>4.2691437950202129</v>
      </c>
      <c r="O40" s="19">
        <v>4.340477664588267</v>
      </c>
      <c r="P40" s="19">
        <v>4.5058698538787123</v>
      </c>
      <c r="Q40" s="19">
        <v>5.6232311188231616</v>
      </c>
      <c r="R40" s="20">
        <v>8.593216541703864</v>
      </c>
    </row>
    <row r="41" spans="1:18" ht="15" thickBot="1" x14ac:dyDescent="0.25">
      <c r="A41" s="16"/>
      <c r="B41" s="4"/>
      <c r="C41" s="4"/>
      <c r="D41" s="4"/>
      <c r="E41" s="4"/>
      <c r="F41" s="4"/>
      <c r="G41" s="4"/>
      <c r="H41" s="17"/>
      <c r="I41" s="4"/>
      <c r="J41" s="4"/>
      <c r="K41" s="16"/>
      <c r="L41" s="4"/>
      <c r="M41" s="4"/>
      <c r="N41" s="4"/>
      <c r="O41" s="4"/>
      <c r="P41" s="4"/>
      <c r="Q41" s="4"/>
      <c r="R41" s="17"/>
    </row>
    <row r="42" spans="1:18" ht="14.25" customHeight="1" thickBot="1" x14ac:dyDescent="0.25">
      <c r="A42" s="79" t="s">
        <v>18</v>
      </c>
      <c r="B42" s="80"/>
      <c r="C42" s="80"/>
      <c r="D42" s="80"/>
      <c r="E42" s="80"/>
      <c r="F42" s="80"/>
      <c r="G42" s="80"/>
      <c r="H42" s="81"/>
      <c r="I42" s="3"/>
      <c r="J42" s="4"/>
      <c r="K42" s="79" t="s">
        <v>18</v>
      </c>
      <c r="L42" s="80"/>
      <c r="M42" s="80"/>
      <c r="N42" s="80"/>
      <c r="O42" s="80"/>
      <c r="P42" s="80"/>
      <c r="Q42" s="80"/>
      <c r="R42" s="81"/>
    </row>
    <row r="43" spans="1:18" ht="14.25" customHeight="1" x14ac:dyDescent="0.2">
      <c r="A43" s="82" t="s">
        <v>0</v>
      </c>
      <c r="B43" s="58" t="s">
        <v>1</v>
      </c>
      <c r="C43" s="8"/>
      <c r="D43" s="9"/>
      <c r="E43" s="9"/>
      <c r="F43" s="9"/>
      <c r="G43" s="9"/>
      <c r="H43" s="10"/>
      <c r="I43" s="4"/>
      <c r="J43" s="4"/>
      <c r="K43" s="82" t="s">
        <v>0</v>
      </c>
      <c r="L43" s="58" t="s">
        <v>1</v>
      </c>
      <c r="M43" s="8"/>
      <c r="N43" s="9"/>
      <c r="O43" s="9"/>
      <c r="P43" s="9"/>
      <c r="Q43" s="9"/>
      <c r="R43" s="10"/>
    </row>
    <row r="44" spans="1:18" ht="14.25" customHeight="1" x14ac:dyDescent="0.2">
      <c r="A44" s="83"/>
      <c r="B44" s="61" t="s">
        <v>2</v>
      </c>
      <c r="C44" s="16"/>
      <c r="D44" s="4"/>
      <c r="E44" s="4"/>
      <c r="F44" s="4"/>
      <c r="G44" s="4"/>
      <c r="H44" s="17"/>
      <c r="I44" s="4"/>
      <c r="J44" s="4"/>
      <c r="K44" s="83"/>
      <c r="L44" s="61" t="s">
        <v>2</v>
      </c>
      <c r="M44" s="16"/>
      <c r="N44" s="4"/>
      <c r="O44" s="4"/>
      <c r="P44" s="4"/>
      <c r="Q44" s="4"/>
      <c r="R44" s="17"/>
    </row>
    <row r="45" spans="1:18" ht="14.25" customHeight="1" x14ac:dyDescent="0.2">
      <c r="A45" s="83"/>
      <c r="B45" s="61" t="s">
        <v>3</v>
      </c>
      <c r="C45" s="16"/>
      <c r="D45" s="4"/>
      <c r="E45" s="4"/>
      <c r="F45" s="4"/>
      <c r="G45" s="4"/>
      <c r="H45" s="17"/>
      <c r="I45" s="4"/>
      <c r="J45" s="4"/>
      <c r="K45" s="83"/>
      <c r="L45" s="61" t="s">
        <v>3</v>
      </c>
      <c r="M45" s="16"/>
      <c r="N45" s="4"/>
      <c r="O45" s="4"/>
      <c r="P45" s="4"/>
      <c r="Q45" s="4"/>
      <c r="R45" s="17"/>
    </row>
    <row r="46" spans="1:18" ht="14.25" customHeight="1" x14ac:dyDescent="0.2">
      <c r="A46" s="83"/>
      <c r="B46" s="61" t="s">
        <v>4</v>
      </c>
      <c r="C46" s="16"/>
      <c r="D46" s="4"/>
      <c r="E46" s="4"/>
      <c r="F46" s="4"/>
      <c r="G46" s="4"/>
      <c r="H46" s="17"/>
      <c r="I46" s="4"/>
      <c r="J46" s="4"/>
      <c r="K46" s="83"/>
      <c r="L46" s="61" t="s">
        <v>4</v>
      </c>
      <c r="M46" s="16"/>
      <c r="N46" s="4"/>
      <c r="O46" s="4"/>
      <c r="P46" s="4"/>
      <c r="Q46" s="4"/>
      <c r="R46" s="17"/>
    </row>
    <row r="47" spans="1:18" ht="14.25" customHeight="1" x14ac:dyDescent="0.2">
      <c r="A47" s="83"/>
      <c r="B47" s="61" t="s">
        <v>5</v>
      </c>
      <c r="C47" s="16"/>
      <c r="D47" s="4"/>
      <c r="E47" s="4"/>
      <c r="F47" s="4"/>
      <c r="G47" s="4"/>
      <c r="H47" s="17"/>
      <c r="I47" s="4"/>
      <c r="J47" s="4"/>
      <c r="K47" s="83"/>
      <c r="L47" s="61" t="s">
        <v>5</v>
      </c>
      <c r="M47" s="16"/>
      <c r="N47" s="4"/>
      <c r="O47" s="4"/>
      <c r="P47" s="4"/>
      <c r="Q47" s="4"/>
      <c r="R47" s="17"/>
    </row>
    <row r="48" spans="1:18" ht="14.25" customHeight="1" x14ac:dyDescent="0.2">
      <c r="A48" s="83"/>
      <c r="B48" s="61" t="s">
        <v>6</v>
      </c>
      <c r="C48" s="16"/>
      <c r="D48" s="4"/>
      <c r="E48" s="4"/>
      <c r="F48" s="4"/>
      <c r="G48" s="4"/>
      <c r="H48" s="17"/>
      <c r="I48" s="4"/>
      <c r="J48" s="4"/>
      <c r="K48" s="83"/>
      <c r="L48" s="61" t="s">
        <v>6</v>
      </c>
      <c r="M48" s="16"/>
      <c r="N48" s="4"/>
      <c r="O48" s="4"/>
      <c r="P48" s="4"/>
      <c r="Q48" s="4"/>
      <c r="R48" s="17"/>
    </row>
    <row r="49" spans="1:18" ht="14.25" customHeight="1" thickBot="1" x14ac:dyDescent="0.25">
      <c r="A49" s="84"/>
      <c r="B49" s="56" t="s">
        <v>7</v>
      </c>
      <c r="C49" s="18"/>
      <c r="D49" s="19"/>
      <c r="E49" s="19"/>
      <c r="F49" s="19"/>
      <c r="G49" s="19"/>
      <c r="H49" s="20"/>
      <c r="I49" s="4"/>
      <c r="J49" s="4"/>
      <c r="K49" s="84"/>
      <c r="L49" s="56" t="s">
        <v>7</v>
      </c>
      <c r="M49" s="18"/>
      <c r="N49" s="19"/>
      <c r="O49" s="19"/>
      <c r="P49" s="19"/>
      <c r="Q49" s="19"/>
      <c r="R49" s="20"/>
    </row>
  </sheetData>
  <mergeCells count="28">
    <mergeCell ref="A2:B2"/>
    <mergeCell ref="K2:L2"/>
    <mergeCell ref="A3:B3"/>
    <mergeCell ref="K3:L3"/>
    <mergeCell ref="A8:H8"/>
    <mergeCell ref="K8:R8"/>
    <mergeCell ref="A42:H42"/>
    <mergeCell ref="K42:R42"/>
    <mergeCell ref="A43:A49"/>
    <mergeCell ref="K43:K49"/>
    <mergeCell ref="A33:H33"/>
    <mergeCell ref="K33:R33"/>
    <mergeCell ref="A34:A40"/>
    <mergeCell ref="K34:K40"/>
    <mergeCell ref="A28:B28"/>
    <mergeCell ref="K28:L28"/>
    <mergeCell ref="A4:B4"/>
    <mergeCell ref="K4:L4"/>
    <mergeCell ref="A29:B29"/>
    <mergeCell ref="K29:L29"/>
    <mergeCell ref="A17:H17"/>
    <mergeCell ref="K17:R17"/>
    <mergeCell ref="A18:A24"/>
    <mergeCell ref="K18:K24"/>
    <mergeCell ref="A27:B27"/>
    <mergeCell ref="K27:L27"/>
    <mergeCell ref="A9:A15"/>
    <mergeCell ref="K9:K15"/>
  </mergeCells>
  <phoneticPr fontId="1" type="noConversion"/>
  <conditionalFormatting sqref="A3:A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8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9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4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8:B28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0:B3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3:H33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42:H42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3 A5:H8 A16:H24 A9:B15">
    <cfRule type="colorScale" priority="40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6 C18:H24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H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5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H16">
    <cfRule type="colorScale" priority="3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8:H24 C3:H6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8:H24 I2:I24 C3:H3 C5:H7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8:H24">
    <cfRule type="colorScale" priority="37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I2:I24">
    <cfRule type="colorScale" priority="4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5">
    <cfRule type="colorScale" priority="4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24 C3:H3 C5:H7">
    <cfRule type="colorScale" priority="4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24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9:I15 C3:I6 C18:I24 I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2:I15 I8:I10 I5:I6 C5:H7 I17:I20 I22:I24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8:I24 I9:I15 I2:I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8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3 K4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4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L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1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8:L28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0:L3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:R16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R17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3:R33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2:R42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6:R16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3BE0-D630-4490-8E48-23B7EF3BF73E}">
  <sheetPr codeName="Sheet1"/>
  <dimension ref="A1:U53"/>
  <sheetViews>
    <sheetView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2" width="9" style="2"/>
    <col min="13" max="13" width="18.75" style="2" customWidth="1"/>
    <col min="14" max="14" width="15" style="2" customWidth="1"/>
    <col min="15" max="16384" width="9" style="2"/>
  </cols>
  <sheetData>
    <row r="1" spans="1:21" ht="15" thickBot="1" x14ac:dyDescent="0.25">
      <c r="A1" s="47" t="s">
        <v>23</v>
      </c>
      <c r="B1" s="44" t="s">
        <v>22</v>
      </c>
      <c r="C1" s="45">
        <v>1</v>
      </c>
      <c r="D1" s="45">
        <v>0.75</v>
      </c>
      <c r="E1" s="45">
        <v>0.5</v>
      </c>
      <c r="F1" s="45">
        <v>0.3</v>
      </c>
      <c r="G1" s="45">
        <v>0.2</v>
      </c>
      <c r="H1" s="45">
        <v>0.1</v>
      </c>
      <c r="I1" s="44">
        <v>0.05</v>
      </c>
      <c r="J1" s="63" t="s">
        <v>15</v>
      </c>
      <c r="K1" s="63" t="s">
        <v>12</v>
      </c>
      <c r="L1" s="64"/>
      <c r="M1" s="47" t="s">
        <v>24</v>
      </c>
      <c r="N1" s="44" t="s">
        <v>25</v>
      </c>
      <c r="O1" s="43">
        <v>1</v>
      </c>
      <c r="P1" s="45">
        <v>0.75</v>
      </c>
      <c r="Q1" s="45">
        <v>0.5</v>
      </c>
      <c r="R1" s="45">
        <v>0.3</v>
      </c>
      <c r="S1" s="45">
        <v>0.2</v>
      </c>
      <c r="T1" s="45">
        <v>0.1</v>
      </c>
      <c r="U1" s="44">
        <v>0.05</v>
      </c>
    </row>
    <row r="2" spans="1:21" ht="15" thickBot="1" x14ac:dyDescent="0.25">
      <c r="A2" s="69" t="s">
        <v>28</v>
      </c>
      <c r="B2" s="85"/>
      <c r="C2" s="28">
        <v>93.273358766079312</v>
      </c>
      <c r="D2" s="29">
        <v>91.615587793435367</v>
      </c>
      <c r="E2" s="29">
        <v>90.62053304959386</v>
      </c>
      <c r="F2" s="29">
        <v>86.59751381932368</v>
      </c>
      <c r="G2" s="29">
        <v>78.22435026831262</v>
      </c>
      <c r="H2" s="29">
        <v>60.854992978601317</v>
      </c>
      <c r="I2" s="30">
        <v>48.743933771053378</v>
      </c>
      <c r="J2" s="23" cm="1">
        <f t="array" ref="J2">-SUMPRODUCT((D1:I1-C1:H1)*(C2:H2+D2:I2)/2)</f>
        <v>81.54747164767862</v>
      </c>
      <c r="K2" s="23">
        <f>C2*(1-1)^2+D2*(1-0.75)^2+E2*(1-0.5)^2+F2*(1-0.3)^2+G2*(1-0.2)^2+H2*(1-0.1)^2+I2*(1-0.05)^2</f>
        <v>214.16141798371962</v>
      </c>
      <c r="L2" s="24" t="str">
        <f>"    "&amp;_xlfn.TEXTJOIN(", ",TRUE,C2:I2)&amp;","</f>
        <v xml:space="preserve">    93.2733587660793, 91.6155877934354, 90.6205330495939, 86.5975138193237, 78.2243502683126, 60.8549929786013, 48.7439337710534,</v>
      </c>
      <c r="M2" s="69" t="s">
        <v>28</v>
      </c>
      <c r="N2" s="85"/>
      <c r="O2" s="28">
        <v>3.4672469457762647</v>
      </c>
      <c r="P2" s="29">
        <v>4.1066373858138912</v>
      </c>
      <c r="Q2" s="29">
        <v>4.4433442831389707</v>
      </c>
      <c r="R2" s="29">
        <v>4.8572661690244194</v>
      </c>
      <c r="S2" s="29">
        <v>6.7334065011993722</v>
      </c>
      <c r="T2" s="29">
        <v>9.3055912140758643</v>
      </c>
      <c r="U2" s="30">
        <v>9.1853207799272329</v>
      </c>
    </row>
    <row r="3" spans="1:21" ht="15" thickBot="1" x14ac:dyDescent="0.25">
      <c r="A3" s="69" t="s">
        <v>16</v>
      </c>
      <c r="B3" s="70"/>
      <c r="C3" s="25">
        <v>91.183040799084182</v>
      </c>
      <c r="D3" s="26">
        <v>90.993376528632041</v>
      </c>
      <c r="E3" s="26">
        <v>89.575994025323183</v>
      </c>
      <c r="F3" s="26">
        <v>87.075747483398061</v>
      </c>
      <c r="G3" s="26">
        <v>84.502634105831376</v>
      </c>
      <c r="H3" s="26">
        <v>64.535713976764512</v>
      </c>
      <c r="I3" s="27">
        <v>52.244131292946591</v>
      </c>
      <c r="J3" s="23" cm="1">
        <f t="array" ref="J3">-SUMPRODUCT((D1:I1-C1:H1)*(C3:H3+D3:I3)/2)</f>
        <v>81.958730251415105</v>
      </c>
      <c r="K3" s="23">
        <f t="shared" ref="K3:K4" si="0">C3*(1-1)^2+D3*(1-0.75)^2+E3*(1-0.5)^2+F3*(1-0.3)^2+G3*(1-0.2)^2+H3*(1-0.1)^2+I3*(1-0.05)^2</f>
        <v>224.254143447031</v>
      </c>
      <c r="L3" s="24"/>
      <c r="M3" s="69" t="s">
        <v>16</v>
      </c>
      <c r="N3" s="70"/>
      <c r="O3" s="25">
        <v>3.6304356896667822</v>
      </c>
      <c r="P3" s="26">
        <v>4.1563832177869031</v>
      </c>
      <c r="Q3" s="26">
        <v>5.199169452154365</v>
      </c>
      <c r="R3" s="26">
        <v>6.7300098038020417</v>
      </c>
      <c r="S3" s="26">
        <v>6.9700930926995044</v>
      </c>
      <c r="T3" s="26">
        <v>10.29776577193992</v>
      </c>
      <c r="U3" s="27">
        <v>8.932833291081316</v>
      </c>
    </row>
    <row r="4" spans="1:21" ht="15" thickBot="1" x14ac:dyDescent="0.25">
      <c r="A4" s="69" t="s">
        <v>17</v>
      </c>
      <c r="B4" s="70"/>
      <c r="C4" s="25">
        <v>90.664120508539568</v>
      </c>
      <c r="D4" s="26">
        <v>90.478199061698916</v>
      </c>
      <c r="E4" s="26">
        <v>90.524586429525058</v>
      </c>
      <c r="F4" s="26">
        <v>89.185007367422472</v>
      </c>
      <c r="G4" s="26">
        <v>86.609875517954293</v>
      </c>
      <c r="H4" s="26">
        <v>73.33662344253267</v>
      </c>
      <c r="I4" s="27">
        <v>59.553176642243173</v>
      </c>
      <c r="J4" s="23" cm="1">
        <f t="array" ref="J4">-SUMPRODUCT((D1:I1-C1:H1)*(C4:H4+D4:I4)/2)</f>
        <v>83.348411606790137</v>
      </c>
      <c r="K4" s="23">
        <f t="shared" si="0"/>
        <v>240.56641489834115</v>
      </c>
      <c r="L4" s="24"/>
      <c r="M4" s="69" t="s">
        <v>17</v>
      </c>
      <c r="N4" s="70"/>
      <c r="O4" s="25">
        <v>3.5401754285279829</v>
      </c>
      <c r="P4" s="26">
        <v>3.9174920258854611</v>
      </c>
      <c r="Q4" s="26">
        <v>3.9698130808052361</v>
      </c>
      <c r="R4" s="26">
        <v>5.5336035606832699</v>
      </c>
      <c r="S4" s="26">
        <v>5.8457163898602484</v>
      </c>
      <c r="T4" s="26">
        <v>7.6914890661564108</v>
      </c>
      <c r="U4" s="27">
        <v>7.5545459945698301</v>
      </c>
    </row>
    <row r="5" spans="1:21" ht="15" customHeight="1" thickBot="1" x14ac:dyDescent="0.25">
      <c r="A5" s="92" t="s">
        <v>8</v>
      </c>
      <c r="B5" s="46" t="s">
        <v>13</v>
      </c>
      <c r="C5" s="35">
        <v>92.863340801679371</v>
      </c>
      <c r="D5" s="24">
        <v>92.130909436932853</v>
      </c>
      <c r="E5" s="24">
        <v>91.485932692612678</v>
      </c>
      <c r="F5" s="24">
        <v>87.982863173556851</v>
      </c>
      <c r="G5" s="24">
        <v>81.250339535809132</v>
      </c>
      <c r="H5" s="24">
        <v>67.413411880725619</v>
      </c>
      <c r="I5" s="36">
        <v>58.082604520800352</v>
      </c>
      <c r="J5" s="23" cm="1">
        <f t="array" ref="J5">-SUMPRODUCT((D1:I1-C1:H1)*(C5:H5+D5:I5)/2)</f>
        <v>83.055514248969857</v>
      </c>
      <c r="K5" s="23">
        <f t="shared" ref="K5:K8" si="1">C5*(1-1)^2+D5*(1-0.75)^2+E5*(1-0.5)^2+F5*(1-0.3)^2+G5*(1-0.2)^2+H5*(1-0.1)^2+I5*(1-0.05)^2</f>
        <v>230.76589947433223</v>
      </c>
      <c r="L5" s="24" t="str">
        <f>"    "&amp;_xlfn.TEXTJOIN(", ",TRUE,C5:I5)&amp;","</f>
        <v xml:space="preserve">    92.8633408016794, 92.1309094369329, 91.4859326926127, 87.9828631735569, 81.2503395358091, 67.4134118807256, 58.0826045208004,</v>
      </c>
      <c r="M5" s="92" t="s">
        <v>8</v>
      </c>
      <c r="N5" s="46" t="s">
        <v>13</v>
      </c>
      <c r="O5" s="35">
        <v>3.6255270462336031</v>
      </c>
      <c r="P5" s="24">
        <v>3.967553970297752</v>
      </c>
      <c r="Q5" s="24">
        <v>4.2772469359152696</v>
      </c>
      <c r="R5" s="24">
        <v>4.3394811686374011</v>
      </c>
      <c r="S5" s="24">
        <v>5.8875861830992866</v>
      </c>
      <c r="T5" s="24">
        <v>7.8207144557818138</v>
      </c>
      <c r="U5" s="36">
        <v>10.183766391328611</v>
      </c>
    </row>
    <row r="6" spans="1:21" ht="15" thickBot="1" x14ac:dyDescent="0.25">
      <c r="A6" s="93"/>
      <c r="B6" s="47" t="s">
        <v>14</v>
      </c>
      <c r="C6" s="25">
        <v>92.198796414040501</v>
      </c>
      <c r="D6" s="26">
        <v>92.414992055871295</v>
      </c>
      <c r="E6" s="26">
        <v>92.060072607317821</v>
      </c>
      <c r="F6" s="26">
        <v>89.38247447353929</v>
      </c>
      <c r="G6" s="26">
        <v>84.585936441203344</v>
      </c>
      <c r="H6" s="26">
        <v>66.764098305348668</v>
      </c>
      <c r="I6" s="27">
        <v>55.966657727719692</v>
      </c>
      <c r="J6" s="23" cm="1">
        <f t="array" ref="J6">-SUMPRODUCT((D1:I1-C1:H1)*(C6:H6+D6:I6)/2)</f>
        <v>83.614552533614784</v>
      </c>
      <c r="K6" s="23">
        <f t="shared" si="1"/>
        <v>231.31219519632526</v>
      </c>
      <c r="L6" s="24"/>
      <c r="M6" s="93"/>
      <c r="N6" s="43" t="s">
        <v>14</v>
      </c>
      <c r="O6" s="25">
        <v>4.0920825520660458</v>
      </c>
      <c r="P6" s="26">
        <v>3.6811518659313718</v>
      </c>
      <c r="Q6" s="26">
        <v>3.85785796812947</v>
      </c>
      <c r="R6" s="26">
        <v>5.1846446465102227</v>
      </c>
      <c r="S6" s="26">
        <v>5.651552347343773</v>
      </c>
      <c r="T6" s="26">
        <v>9.7038681323141347</v>
      </c>
      <c r="U6" s="27">
        <v>10.2408080553086</v>
      </c>
    </row>
    <row r="7" spans="1:21" ht="15" thickBot="1" x14ac:dyDescent="0.25">
      <c r="A7" s="92" t="s">
        <v>21</v>
      </c>
      <c r="B7" s="49" t="s">
        <v>13</v>
      </c>
      <c r="C7" s="28">
        <v>93.274336283185846</v>
      </c>
      <c r="D7" s="29">
        <v>92.587020648967567</v>
      </c>
      <c r="E7" s="29">
        <v>91.724686199707605</v>
      </c>
      <c r="F7" s="29">
        <v>91.096529093388952</v>
      </c>
      <c r="G7" s="29">
        <v>89.432353797754871</v>
      </c>
      <c r="H7" s="29">
        <v>79.463957300668696</v>
      </c>
      <c r="I7" s="30">
        <v>63.726375949042243</v>
      </c>
      <c r="J7" s="23" cm="1">
        <f t="array" ref="J7">-SUMPRODUCT((D1:I1-C1:H1)*(C7:H7+D7:I7)/2)</f>
        <v>85.604772532634371</v>
      </c>
      <c r="K7" s="23">
        <f t="shared" si="1"/>
        <v>252.47072573436336</v>
      </c>
      <c r="L7" s="24"/>
      <c r="M7" s="92" t="s">
        <v>21</v>
      </c>
      <c r="N7" s="49" t="s">
        <v>13</v>
      </c>
      <c r="O7" s="28">
        <v>3.383786427507351</v>
      </c>
      <c r="P7" s="29">
        <v>3.888879441393613</v>
      </c>
      <c r="Q7" s="29">
        <v>2.9552741043493969</v>
      </c>
      <c r="R7" s="29">
        <v>2.7301793614639722</v>
      </c>
      <c r="S7" s="29">
        <v>3.2138311848363439</v>
      </c>
      <c r="T7" s="29">
        <v>5.8192362557437454</v>
      </c>
      <c r="U7" s="30">
        <v>7.2926859535959343</v>
      </c>
    </row>
    <row r="8" spans="1:21" ht="15" thickBot="1" x14ac:dyDescent="0.25">
      <c r="A8" s="93"/>
      <c r="B8" s="43" t="s">
        <v>14</v>
      </c>
      <c r="C8" s="25">
        <v>93.422812192723697</v>
      </c>
      <c r="D8" s="26">
        <v>91.884967286337556</v>
      </c>
      <c r="E8" s="26">
        <v>91.219278136777405</v>
      </c>
      <c r="F8" s="26">
        <v>89.511307767944942</v>
      </c>
      <c r="G8" s="26">
        <v>85.221786808997777</v>
      </c>
      <c r="H8" s="26">
        <v>69.864136656314784</v>
      </c>
      <c r="I8" s="27">
        <v>56.569038947857088</v>
      </c>
      <c r="J8" s="23" cm="1">
        <f t="array" ref="J8">-SUMPRODUCT((D1:I1-C1:H1)*(C8:H8+D8:I8)/2)</f>
        <v>83.776341995461323</v>
      </c>
      <c r="K8" s="23">
        <f t="shared" si="1"/>
        <v>234.59362269569806</v>
      </c>
      <c r="L8" s="24"/>
      <c r="M8" s="93"/>
      <c r="N8" s="43" t="s">
        <v>14</v>
      </c>
      <c r="O8" s="25">
        <v>3.2252513660301281</v>
      </c>
      <c r="P8" s="26">
        <v>3.7972946157850411</v>
      </c>
      <c r="Q8" s="26">
        <v>3.2633028119927521</v>
      </c>
      <c r="R8" s="26">
        <v>3.255882546679346</v>
      </c>
      <c r="S8" s="26">
        <v>5.2317157915617392</v>
      </c>
      <c r="T8" s="26">
        <v>7.5625760189743341</v>
      </c>
      <c r="U8" s="27">
        <v>7.8089937506508873</v>
      </c>
    </row>
    <row r="9" spans="1:21" ht="15" thickBot="1" x14ac:dyDescent="0.25">
      <c r="A9" s="39"/>
      <c r="B9" s="40"/>
      <c r="C9" s="41"/>
      <c r="D9" s="41"/>
      <c r="E9" s="41"/>
      <c r="F9" s="41"/>
      <c r="G9" s="41"/>
      <c r="H9" s="41"/>
      <c r="I9" s="42"/>
      <c r="J9" s="23"/>
      <c r="K9" s="23"/>
      <c r="L9" s="24"/>
      <c r="M9" s="39"/>
      <c r="N9" s="40"/>
      <c r="O9" s="41"/>
      <c r="P9" s="41"/>
      <c r="Q9" s="41"/>
      <c r="R9" s="41"/>
      <c r="S9" s="41"/>
      <c r="T9" s="41"/>
      <c r="U9" s="42"/>
    </row>
    <row r="10" spans="1:21" ht="15" thickBot="1" x14ac:dyDescent="0.25">
      <c r="A10" s="86" t="s">
        <v>11</v>
      </c>
      <c r="B10" s="87"/>
      <c r="C10" s="87"/>
      <c r="D10" s="87"/>
      <c r="E10" s="87"/>
      <c r="F10" s="87"/>
      <c r="G10" s="87"/>
      <c r="H10" s="87"/>
      <c r="I10" s="88"/>
      <c r="J10" s="23"/>
      <c r="K10" s="23"/>
      <c r="L10" s="24"/>
      <c r="M10" s="86" t="s">
        <v>11</v>
      </c>
      <c r="N10" s="87"/>
      <c r="O10" s="87"/>
      <c r="P10" s="87"/>
      <c r="Q10" s="87"/>
      <c r="R10" s="87"/>
      <c r="S10" s="87"/>
      <c r="T10" s="87"/>
      <c r="U10" s="88"/>
    </row>
    <row r="11" spans="1:21" x14ac:dyDescent="0.2">
      <c r="A11" s="74" t="s">
        <v>0</v>
      </c>
      <c r="B11" s="46" t="s">
        <v>1</v>
      </c>
      <c r="C11" s="28">
        <v>93.317606553689899</v>
      </c>
      <c r="D11" s="29">
        <v>92.820093599425576</v>
      </c>
      <c r="E11" s="29">
        <v>92.141598687416561</v>
      </c>
      <c r="F11" s="29">
        <v>90.823020383682675</v>
      </c>
      <c r="G11" s="29">
        <v>85.531250270331071</v>
      </c>
      <c r="H11" s="29">
        <v>65.196218537069228</v>
      </c>
      <c r="I11" s="30">
        <v>51.855817668549633</v>
      </c>
      <c r="J11" s="23"/>
      <c r="K11" s="23">
        <f t="shared" ref="K11:K26" si="2">C11*(1-1)^2+D11*(1-0.75)^2+E11*(1-0.5)^2+F11*(1-0.3)^2+G11*(1-0.2)^2+H11*(1-0.1)^2+I11*(1-0.05)^2</f>
        <v>227.68874814372671</v>
      </c>
      <c r="L11" s="24" t="str">
        <f t="shared" ref="L11:L17" si="3">"    "&amp;_xlfn.TEXTJOIN(", ",TRUE,C11:I11)&amp;","</f>
        <v xml:space="preserve">    93.3176065536899, 92.8200935994256, 92.1415986874166, 90.8230203836827, 85.5312502703311, 65.1962185370692, 51.8558176685496,</v>
      </c>
      <c r="M11" s="74" t="s">
        <v>0</v>
      </c>
      <c r="N11" s="46" t="s">
        <v>1</v>
      </c>
      <c r="O11" s="28">
        <v>3.620572914378736</v>
      </c>
      <c r="P11" s="29">
        <v>4.0706028935279264</v>
      </c>
      <c r="Q11" s="29">
        <v>4.1023805425720701</v>
      </c>
      <c r="R11" s="29">
        <v>3.8189918305843129</v>
      </c>
      <c r="S11" s="29">
        <v>5.7490786931677906</v>
      </c>
      <c r="T11" s="29">
        <v>7.8394132385069568</v>
      </c>
      <c r="U11" s="30">
        <v>7.5212910589250539</v>
      </c>
    </row>
    <row r="12" spans="1:21" x14ac:dyDescent="0.2">
      <c r="A12" s="75"/>
      <c r="B12" s="52" t="s">
        <v>2</v>
      </c>
      <c r="C12" s="35">
        <v>93.463126843657804</v>
      </c>
      <c r="D12" s="24">
        <v>92.175059184479693</v>
      </c>
      <c r="E12" s="24">
        <v>91.653982012531813</v>
      </c>
      <c r="F12" s="24">
        <v>89.164070046742054</v>
      </c>
      <c r="G12" s="24">
        <v>84.651389717904124</v>
      </c>
      <c r="H12" s="24">
        <v>64.461719680389393</v>
      </c>
      <c r="I12" s="36">
        <v>47.54779308932892</v>
      </c>
      <c r="J12" s="23"/>
      <c r="K12" s="23">
        <f t="shared" si="2"/>
        <v>221.66759664875997</v>
      </c>
      <c r="L12" s="24" t="str">
        <f t="shared" si="3"/>
        <v xml:space="preserve">    93.4631268436578, 92.1750591844797, 91.6539820125318, 89.1640700467421, 84.6513897179041, 64.4617196803894, 47.5477930893289,</v>
      </c>
      <c r="M12" s="75"/>
      <c r="N12" s="52" t="s">
        <v>2</v>
      </c>
      <c r="O12" s="35">
        <v>3.4757775499648642</v>
      </c>
      <c r="P12" s="97">
        <v>3.9625853214368441</v>
      </c>
      <c r="Q12" s="97">
        <v>3.885694779483682</v>
      </c>
      <c r="R12" s="97">
        <v>4.0754338376519801</v>
      </c>
      <c r="S12" s="97">
        <v>4.4754549782690392</v>
      </c>
      <c r="T12" s="97">
        <v>7.534222167299129</v>
      </c>
      <c r="U12" s="36">
        <v>6.815010216058349</v>
      </c>
    </row>
    <row r="13" spans="1:21" x14ac:dyDescent="0.2">
      <c r="A13" s="75"/>
      <c r="B13" s="52" t="s">
        <v>3</v>
      </c>
      <c r="C13" s="35">
        <v>93.347099311701086</v>
      </c>
      <c r="D13" s="24">
        <v>92.384492945440726</v>
      </c>
      <c r="E13" s="24">
        <v>91.818173167587958</v>
      </c>
      <c r="F13" s="24">
        <v>89.664201247415633</v>
      </c>
      <c r="G13" s="24">
        <v>85.937401419274096</v>
      </c>
      <c r="H13" s="24">
        <v>66.951421148395156</v>
      </c>
      <c r="I13" s="36">
        <v>49.55568819799479</v>
      </c>
      <c r="J13" s="23"/>
      <c r="K13" s="23">
        <f t="shared" si="2"/>
        <v>226.61862934944648</v>
      </c>
      <c r="L13" s="24" t="str">
        <f t="shared" si="3"/>
        <v xml:space="preserve">    93.3470993117011, 92.3844929454407, 91.818173167588, 89.6642012474156, 85.9374014192741, 66.9514211483952, 49.5556881979948,</v>
      </c>
      <c r="M13" s="75"/>
      <c r="N13" s="52" t="s">
        <v>3</v>
      </c>
      <c r="O13" s="35">
        <v>3.617035107453527</v>
      </c>
      <c r="P13" s="97">
        <v>3.8495808870120838</v>
      </c>
      <c r="Q13" s="97">
        <v>3.96739410444094</v>
      </c>
      <c r="R13" s="97">
        <v>4.2778681212111698</v>
      </c>
      <c r="S13" s="97">
        <v>5.3469667369193479</v>
      </c>
      <c r="T13" s="97">
        <v>6.7029521369038161</v>
      </c>
      <c r="U13" s="36">
        <v>6.8737204921591823</v>
      </c>
    </row>
    <row r="14" spans="1:21" x14ac:dyDescent="0.2">
      <c r="A14" s="75"/>
      <c r="B14" s="52" t="s">
        <v>4</v>
      </c>
      <c r="C14" s="35">
        <v>93.093423530191998</v>
      </c>
      <c r="D14" s="24">
        <v>92.032529116457198</v>
      </c>
      <c r="E14" s="24">
        <v>91.460223127651048</v>
      </c>
      <c r="F14" s="24">
        <v>89.435744830549297</v>
      </c>
      <c r="G14" s="24">
        <v>82.989377070735912</v>
      </c>
      <c r="H14" s="24">
        <v>58.198897337635557</v>
      </c>
      <c r="I14" s="36">
        <v>50.000795854635413</v>
      </c>
      <c r="J14" s="23"/>
      <c r="K14" s="23">
        <f t="shared" si="2"/>
        <v>217.82063024622474</v>
      </c>
      <c r="L14" s="24" t="str">
        <f t="shared" si="3"/>
        <v xml:space="preserve">    93.093423530192, 92.0325291164572, 91.460223127651, 89.4357448305493, 82.9893770707359, 58.1988973376356, 50.0007958546354,</v>
      </c>
      <c r="M14" s="75"/>
      <c r="N14" s="52" t="s">
        <v>4</v>
      </c>
      <c r="O14" s="35">
        <v>3.7255345666418358</v>
      </c>
      <c r="P14" s="97">
        <v>4.014745502640432</v>
      </c>
      <c r="Q14" s="97">
        <v>4.0186014047538423</v>
      </c>
      <c r="R14" s="97">
        <v>4.2976843001776297</v>
      </c>
      <c r="S14" s="97">
        <v>5.4463720180523856</v>
      </c>
      <c r="T14" s="97">
        <v>8.0197439606429093</v>
      </c>
      <c r="U14" s="36">
        <v>5.9592059502246073</v>
      </c>
    </row>
    <row r="15" spans="1:21" x14ac:dyDescent="0.2">
      <c r="A15" s="75"/>
      <c r="B15" s="52" t="s">
        <v>5</v>
      </c>
      <c r="C15" s="35">
        <v>93.419862340216341</v>
      </c>
      <c r="D15" s="24">
        <v>92.73453634258658</v>
      </c>
      <c r="E15" s="24">
        <v>92.271397964803597</v>
      </c>
      <c r="F15" s="24">
        <v>90.714945631017542</v>
      </c>
      <c r="G15" s="24">
        <v>87.998904258110642</v>
      </c>
      <c r="H15" s="24">
        <v>66.196847146889979</v>
      </c>
      <c r="I15" s="36">
        <v>50.571838856737521</v>
      </c>
      <c r="J15" s="23"/>
      <c r="K15" s="23">
        <f t="shared" si="2"/>
        <v>228.89391085418845</v>
      </c>
      <c r="L15" s="24" t="str">
        <f t="shared" si="3"/>
        <v xml:space="preserve">    93.4198623402163, 92.7345363425866, 92.2713979648036, 90.7149456310175, 87.9989042581106, 66.19684714689, 50.5718388567375,</v>
      </c>
      <c r="M15" s="75"/>
      <c r="N15" s="52" t="s">
        <v>5</v>
      </c>
      <c r="O15" s="35">
        <v>3.5802828134576741</v>
      </c>
      <c r="P15" s="97">
        <v>4.0559403662333304</v>
      </c>
      <c r="Q15" s="97">
        <v>4.0480488735099982</v>
      </c>
      <c r="R15" s="97">
        <v>3.9309187760649582</v>
      </c>
      <c r="S15" s="97">
        <v>4.5469182893231572</v>
      </c>
      <c r="T15" s="97">
        <v>8.4486501587333311</v>
      </c>
      <c r="U15" s="36">
        <v>7.9761275607635396</v>
      </c>
    </row>
    <row r="16" spans="1:21" x14ac:dyDescent="0.2">
      <c r="A16" s="75"/>
      <c r="B16" s="52" t="s">
        <v>6</v>
      </c>
      <c r="C16" s="35">
        <v>93.423795476892835</v>
      </c>
      <c r="D16" s="24">
        <v>92.436607006404302</v>
      </c>
      <c r="E16" s="24">
        <v>92.06983624425817</v>
      </c>
      <c r="F16" s="24">
        <v>89.286109741433748</v>
      </c>
      <c r="G16" s="24">
        <v>85.108270832792655</v>
      </c>
      <c r="H16" s="24">
        <v>62.343982214379018</v>
      </c>
      <c r="I16" s="36">
        <v>48.802878917637692</v>
      </c>
      <c r="J16" s="23" cm="1">
        <f t="array" ref="J16">-SUMPRODUCT((D1:I1-C1:H1)*(C16:H16+D16:I16)/2)</f>
        <v>83.302453524684481</v>
      </c>
      <c r="K16" s="23">
        <f t="shared" si="2"/>
        <v>221.55745792206966</v>
      </c>
      <c r="L16" s="24" t="str">
        <f t="shared" si="3"/>
        <v xml:space="preserve">    93.4237954768928, 92.4366070064043, 92.0698362442582, 89.2861097414337, 85.1082708327927, 62.343982214379, 48.8028789176377,</v>
      </c>
      <c r="M16" s="75"/>
      <c r="N16" s="52" t="s">
        <v>6</v>
      </c>
      <c r="O16" s="35">
        <v>3.2978061069729612</v>
      </c>
      <c r="P16" s="97">
        <v>3.839215727245314</v>
      </c>
      <c r="Q16" s="97">
        <v>3.8733063090154749</v>
      </c>
      <c r="R16" s="97">
        <v>4.7219853917428987</v>
      </c>
      <c r="S16" s="97">
        <v>4.6095110377486659</v>
      </c>
      <c r="T16" s="97">
        <v>7.4833403587430967</v>
      </c>
      <c r="U16" s="36">
        <v>5.8147532482852222</v>
      </c>
    </row>
    <row r="17" spans="1:21" ht="15" thickBot="1" x14ac:dyDescent="0.25">
      <c r="A17" s="76"/>
      <c r="B17" s="53" t="s">
        <v>7</v>
      </c>
      <c r="C17" s="31">
        <v>93.496558505408061</v>
      </c>
      <c r="D17" s="32">
        <v>92.713881607972368</v>
      </c>
      <c r="E17" s="32">
        <v>92.345144277488018</v>
      </c>
      <c r="F17" s="32">
        <v>91.007644241443856</v>
      </c>
      <c r="G17" s="32">
        <v>87.33424741275158</v>
      </c>
      <c r="H17" s="32">
        <v>66.065300449542534</v>
      </c>
      <c r="I17" s="33">
        <v>52.243949630475477</v>
      </c>
      <c r="J17" s="23"/>
      <c r="K17" s="23">
        <f t="shared" si="2"/>
        <v>230.03162559797238</v>
      </c>
      <c r="L17" s="24" t="str">
        <f t="shared" si="3"/>
        <v xml:space="preserve">    93.4965585054081, 92.7138816079724, 92.345144277488, 91.0076442414439, 87.3342474127516, 66.0653004495425, 52.2439496304755,</v>
      </c>
      <c r="M17" s="76"/>
      <c r="N17" s="53" t="s">
        <v>7</v>
      </c>
      <c r="O17" s="31">
        <v>3.2641574966856459</v>
      </c>
      <c r="P17" s="32">
        <v>3.7852815333164131</v>
      </c>
      <c r="Q17" s="32">
        <v>3.7326595731051659</v>
      </c>
      <c r="R17" s="32">
        <v>3.96639977555613</v>
      </c>
      <c r="S17" s="32">
        <v>5.1850656746920443</v>
      </c>
      <c r="T17" s="32">
        <v>8.2474642193386618</v>
      </c>
      <c r="U17" s="33">
        <v>7.4214952602719793</v>
      </c>
    </row>
    <row r="18" spans="1:21" ht="15" thickBot="1" x14ac:dyDescent="0.25">
      <c r="A18" s="23"/>
      <c r="B18" s="23"/>
      <c r="C18" s="24"/>
      <c r="D18" s="24"/>
      <c r="E18" s="24"/>
      <c r="F18" s="24"/>
      <c r="G18" s="24"/>
      <c r="H18" s="24"/>
      <c r="I18" s="24"/>
      <c r="J18" s="23"/>
      <c r="K18" s="23"/>
      <c r="L18" s="24"/>
      <c r="M18" s="37"/>
      <c r="N18" s="38"/>
      <c r="O18" s="31"/>
      <c r="P18" s="32"/>
      <c r="Q18" s="32"/>
      <c r="R18" s="32"/>
      <c r="S18" s="32"/>
      <c r="T18" s="32"/>
      <c r="U18" s="33"/>
    </row>
    <row r="19" spans="1:21" ht="15" thickBot="1" x14ac:dyDescent="0.25">
      <c r="A19" s="86" t="s">
        <v>10</v>
      </c>
      <c r="B19" s="87"/>
      <c r="C19" s="87"/>
      <c r="D19" s="87"/>
      <c r="E19" s="87"/>
      <c r="F19" s="87"/>
      <c r="G19" s="87"/>
      <c r="H19" s="87"/>
      <c r="I19" s="88"/>
      <c r="J19" s="23"/>
      <c r="K19" s="23"/>
      <c r="L19" s="24"/>
      <c r="M19" s="86" t="s">
        <v>10</v>
      </c>
      <c r="N19" s="87"/>
      <c r="O19" s="87"/>
      <c r="P19" s="87"/>
      <c r="Q19" s="87"/>
      <c r="R19" s="87"/>
      <c r="S19" s="87"/>
      <c r="T19" s="87"/>
      <c r="U19" s="88"/>
    </row>
    <row r="20" spans="1:21" x14ac:dyDescent="0.2">
      <c r="A20" s="74" t="s">
        <v>0</v>
      </c>
      <c r="B20" s="48" t="s">
        <v>1</v>
      </c>
      <c r="C20" s="29"/>
      <c r="D20" s="29"/>
      <c r="E20" s="29"/>
      <c r="F20" s="29"/>
      <c r="G20" s="29"/>
      <c r="H20" s="29"/>
      <c r="I20" s="30"/>
      <c r="J20" s="23"/>
      <c r="K20" s="23">
        <f t="shared" si="2"/>
        <v>0</v>
      </c>
      <c r="L20" s="24" t="str">
        <f t="shared" ref="L20:L26" si="4">"    "&amp;_xlfn.TEXTJOIN(", ",TRUE,C20:I20)&amp;","</f>
        <v xml:space="preserve">    ,</v>
      </c>
      <c r="M20" s="74" t="s">
        <v>0</v>
      </c>
      <c r="N20" s="48" t="s">
        <v>1</v>
      </c>
      <c r="O20" s="29"/>
      <c r="P20" s="29"/>
      <c r="Q20" s="29"/>
      <c r="R20" s="29"/>
      <c r="S20" s="29"/>
      <c r="T20" s="29"/>
      <c r="U20" s="30"/>
    </row>
    <row r="21" spans="1:21" x14ac:dyDescent="0.2">
      <c r="A21" s="75"/>
      <c r="B21" s="51" t="s">
        <v>2</v>
      </c>
      <c r="C21" s="24"/>
      <c r="D21" s="24"/>
      <c r="E21" s="24"/>
      <c r="F21" s="24"/>
      <c r="G21" s="24"/>
      <c r="H21" s="24"/>
      <c r="I21" s="36"/>
      <c r="J21" s="23"/>
      <c r="K21" s="23">
        <f t="shared" si="2"/>
        <v>0</v>
      </c>
      <c r="L21" s="24" t="str">
        <f t="shared" si="4"/>
        <v xml:space="preserve">    ,</v>
      </c>
      <c r="M21" s="75"/>
      <c r="N21" s="51" t="s">
        <v>2</v>
      </c>
      <c r="O21" s="24"/>
      <c r="P21" s="24"/>
      <c r="Q21" s="24"/>
      <c r="R21" s="24"/>
      <c r="S21" s="24"/>
      <c r="T21" s="24"/>
      <c r="U21" s="36"/>
    </row>
    <row r="22" spans="1:21" x14ac:dyDescent="0.2">
      <c r="A22" s="75"/>
      <c r="B22" s="51" t="s">
        <v>3</v>
      </c>
      <c r="C22" s="24"/>
      <c r="D22" s="24"/>
      <c r="E22" s="24"/>
      <c r="F22" s="24"/>
      <c r="G22" s="24"/>
      <c r="H22" s="24"/>
      <c r="I22" s="36"/>
      <c r="J22" s="23"/>
      <c r="K22" s="23">
        <f t="shared" si="2"/>
        <v>0</v>
      </c>
      <c r="L22" s="24" t="str">
        <f t="shared" si="4"/>
        <v xml:space="preserve">    ,</v>
      </c>
      <c r="M22" s="75"/>
      <c r="N22" s="51" t="s">
        <v>3</v>
      </c>
      <c r="O22" s="24"/>
      <c r="P22" s="24"/>
      <c r="Q22" s="24"/>
      <c r="R22" s="24"/>
      <c r="S22" s="24"/>
      <c r="T22" s="24"/>
      <c r="U22" s="36"/>
    </row>
    <row r="23" spans="1:21" x14ac:dyDescent="0.2">
      <c r="A23" s="75"/>
      <c r="B23" s="51" t="s">
        <v>4</v>
      </c>
      <c r="C23" s="24"/>
      <c r="D23" s="24"/>
      <c r="E23" s="24"/>
      <c r="F23" s="24"/>
      <c r="G23" s="24"/>
      <c r="H23" s="24"/>
      <c r="I23" s="36"/>
      <c r="J23" s="23"/>
      <c r="K23" s="23">
        <f t="shared" si="2"/>
        <v>0</v>
      </c>
      <c r="L23" s="24" t="str">
        <f t="shared" si="4"/>
        <v xml:space="preserve">    ,</v>
      </c>
      <c r="M23" s="75"/>
      <c r="N23" s="51" t="s">
        <v>4</v>
      </c>
      <c r="O23" s="24"/>
      <c r="P23" s="24"/>
      <c r="Q23" s="24"/>
      <c r="R23" s="24"/>
      <c r="S23" s="24"/>
      <c r="T23" s="24"/>
      <c r="U23" s="36"/>
    </row>
    <row r="24" spans="1:21" x14ac:dyDescent="0.2">
      <c r="A24" s="75"/>
      <c r="B24" s="51" t="s">
        <v>5</v>
      </c>
      <c r="C24" s="24"/>
      <c r="D24" s="24"/>
      <c r="E24" s="24"/>
      <c r="F24" s="24"/>
      <c r="G24" s="24"/>
      <c r="H24" s="24"/>
      <c r="I24" s="36"/>
      <c r="J24" s="23"/>
      <c r="K24" s="23">
        <f t="shared" si="2"/>
        <v>0</v>
      </c>
      <c r="L24" s="24" t="str">
        <f t="shared" si="4"/>
        <v xml:space="preserve">    ,</v>
      </c>
      <c r="M24" s="75"/>
      <c r="N24" s="51" t="s">
        <v>5</v>
      </c>
      <c r="O24" s="24"/>
      <c r="P24" s="24"/>
      <c r="Q24" s="24"/>
      <c r="R24" s="24"/>
      <c r="S24" s="24"/>
      <c r="T24" s="24"/>
      <c r="U24" s="36"/>
    </row>
    <row r="25" spans="1:21" x14ac:dyDescent="0.2">
      <c r="A25" s="75"/>
      <c r="B25" s="51" t="s">
        <v>6</v>
      </c>
      <c r="C25" s="24"/>
      <c r="D25" s="24"/>
      <c r="E25" s="24"/>
      <c r="F25" s="24"/>
      <c r="G25" s="24"/>
      <c r="H25" s="24"/>
      <c r="I25" s="36"/>
      <c r="J25" s="23" cm="1">
        <f t="array" ref="J25">-SUMPRODUCT((D1:I1-C1:H1)*(C25:H25+D25:I25)/2)</f>
        <v>0</v>
      </c>
      <c r="K25" s="23">
        <f t="shared" si="2"/>
        <v>0</v>
      </c>
      <c r="L25" s="24" t="str">
        <f t="shared" si="4"/>
        <v xml:space="preserve">    ,</v>
      </c>
      <c r="M25" s="75"/>
      <c r="N25" s="51" t="s">
        <v>6</v>
      </c>
      <c r="O25" s="24"/>
      <c r="P25" s="24"/>
      <c r="Q25" s="24"/>
      <c r="R25" s="24"/>
      <c r="S25" s="24"/>
      <c r="T25" s="24"/>
      <c r="U25" s="36"/>
    </row>
    <row r="26" spans="1:21" ht="14.25" customHeight="1" thickBot="1" x14ac:dyDescent="0.25">
      <c r="A26" s="76"/>
      <c r="B26" s="50" t="s">
        <v>7</v>
      </c>
      <c r="C26" s="32"/>
      <c r="D26" s="32"/>
      <c r="E26" s="32"/>
      <c r="F26" s="32"/>
      <c r="G26" s="32"/>
      <c r="H26" s="32"/>
      <c r="I26" s="33"/>
      <c r="J26" s="23"/>
      <c r="K26" s="23">
        <f t="shared" si="2"/>
        <v>0</v>
      </c>
      <c r="L26" s="24" t="str">
        <f t="shared" si="4"/>
        <v xml:space="preserve">    ,</v>
      </c>
      <c r="M26" s="76"/>
      <c r="N26" s="50" t="s">
        <v>7</v>
      </c>
      <c r="O26" s="32"/>
      <c r="P26" s="32"/>
      <c r="Q26" s="32"/>
      <c r="R26" s="32"/>
      <c r="S26" s="32"/>
      <c r="T26" s="32"/>
      <c r="U26" s="33"/>
    </row>
    <row r="27" spans="1:21" ht="15" thickBot="1" x14ac:dyDescent="0.25">
      <c r="K27" s="1"/>
    </row>
    <row r="28" spans="1:21" ht="15" thickBot="1" x14ac:dyDescent="0.25">
      <c r="A28" s="66" t="s">
        <v>26</v>
      </c>
      <c r="B28" s="55" t="s">
        <v>25</v>
      </c>
      <c r="C28" s="57">
        <v>1</v>
      </c>
      <c r="D28" s="57">
        <v>0.75</v>
      </c>
      <c r="E28" s="57">
        <v>0.5</v>
      </c>
      <c r="F28" s="57">
        <v>0.3</v>
      </c>
      <c r="G28" s="57">
        <v>0.2</v>
      </c>
      <c r="H28" s="57">
        <v>0.1</v>
      </c>
      <c r="I28" s="55">
        <v>0.05</v>
      </c>
      <c r="J28" s="3"/>
      <c r="K28" s="3"/>
      <c r="L28" s="4"/>
      <c r="M28" s="66" t="s">
        <v>27</v>
      </c>
      <c r="N28" s="55" t="s">
        <v>25</v>
      </c>
      <c r="O28" s="57">
        <v>1</v>
      </c>
      <c r="P28" s="57">
        <v>0.75</v>
      </c>
      <c r="Q28" s="57">
        <v>0.5</v>
      </c>
      <c r="R28" s="57">
        <v>0.3</v>
      </c>
      <c r="S28" s="57">
        <v>0.2</v>
      </c>
      <c r="T28" s="57">
        <v>0.1</v>
      </c>
      <c r="U28" s="55">
        <v>0.05</v>
      </c>
    </row>
    <row r="29" spans="1:21" ht="15" thickBot="1" x14ac:dyDescent="0.25">
      <c r="A29" s="77" t="s">
        <v>28</v>
      </c>
      <c r="B29" s="78"/>
      <c r="C29" s="9">
        <v>92.866950218042462</v>
      </c>
      <c r="D29" s="9">
        <v>91.242690764745561</v>
      </c>
      <c r="E29" s="9">
        <v>90.137053227698445</v>
      </c>
      <c r="F29" s="9">
        <v>86.080152926613408</v>
      </c>
      <c r="G29" s="9">
        <v>77.410217255196784</v>
      </c>
      <c r="H29" s="9">
        <v>59.676194764980139</v>
      </c>
      <c r="I29" s="10">
        <v>46.395490419404197</v>
      </c>
      <c r="J29" s="4"/>
      <c r="K29" s="3"/>
      <c r="L29" s="4"/>
      <c r="M29" s="77" t="s">
        <v>28</v>
      </c>
      <c r="N29" s="78"/>
      <c r="O29" s="9">
        <v>3.8319643020864191</v>
      </c>
      <c r="P29" s="9">
        <v>4.3603246705255447</v>
      </c>
      <c r="Q29" s="9">
        <v>4.7987735191879262</v>
      </c>
      <c r="R29" s="9">
        <v>5.1262965367330251</v>
      </c>
      <c r="S29" s="9">
        <v>7.087258799823358</v>
      </c>
      <c r="T29" s="9">
        <v>9.7457736576346736</v>
      </c>
      <c r="U29" s="10">
        <v>10.021578856839133</v>
      </c>
    </row>
    <row r="30" spans="1:21" ht="15" thickBot="1" x14ac:dyDescent="0.25">
      <c r="A30" s="67" t="s">
        <v>16</v>
      </c>
      <c r="B30" s="68"/>
      <c r="C30" s="5">
        <v>90.52770446578225</v>
      </c>
      <c r="D30" s="6">
        <v>90.342410185071145</v>
      </c>
      <c r="E30" s="6">
        <v>88.855134780158878</v>
      </c>
      <c r="F30" s="6">
        <v>86.392551450858122</v>
      </c>
      <c r="G30" s="6">
        <v>83.730938565201825</v>
      </c>
      <c r="H30" s="6">
        <v>62.869764156729879</v>
      </c>
      <c r="I30" s="7">
        <v>50.14806597685817</v>
      </c>
      <c r="J30" s="4"/>
      <c r="K30" s="3"/>
      <c r="L30" s="4"/>
      <c r="M30" s="67" t="s">
        <v>16</v>
      </c>
      <c r="N30" s="68"/>
      <c r="O30" s="5">
        <v>4.0901656450530481</v>
      </c>
      <c r="P30" s="6">
        <v>4.6901296175247245</v>
      </c>
      <c r="Q30" s="6">
        <v>5.7331503658977514</v>
      </c>
      <c r="R30" s="6">
        <v>7.1150709678028736</v>
      </c>
      <c r="S30" s="6">
        <v>7.2945876922705306</v>
      </c>
      <c r="T30" s="6">
        <v>11.39436528430654</v>
      </c>
      <c r="U30" s="7">
        <v>9.6259268952376154</v>
      </c>
    </row>
    <row r="31" spans="1:21" ht="15" thickBot="1" x14ac:dyDescent="0.25">
      <c r="A31" s="67" t="s">
        <v>17</v>
      </c>
      <c r="B31" s="68"/>
      <c r="C31" s="5">
        <v>89.97817765654861</v>
      </c>
      <c r="D31" s="6">
        <v>89.843877293314875</v>
      </c>
      <c r="E31" s="6">
        <v>89.806880369940572</v>
      </c>
      <c r="F31" s="6">
        <v>88.456307031391773</v>
      </c>
      <c r="G31" s="6">
        <v>85.874347222050872</v>
      </c>
      <c r="H31" s="6">
        <v>72.361626989881074</v>
      </c>
      <c r="I31" s="7">
        <v>57.862850795163133</v>
      </c>
      <c r="J31" s="4"/>
      <c r="K31" s="3"/>
      <c r="L31" s="4"/>
      <c r="M31" s="67" t="s">
        <v>17</v>
      </c>
      <c r="N31" s="68"/>
      <c r="O31" s="5">
        <v>3.9649646983544202</v>
      </c>
      <c r="P31" s="6">
        <v>4.170593930476838</v>
      </c>
      <c r="Q31" s="6">
        <v>4.2923972045274397</v>
      </c>
      <c r="R31" s="6">
        <v>6.0979560195091933</v>
      </c>
      <c r="S31" s="6">
        <v>6.2812773129576227</v>
      </c>
      <c r="T31" s="6">
        <v>8.3484452530393831</v>
      </c>
      <c r="U31" s="7">
        <v>8.47470049713211</v>
      </c>
    </row>
    <row r="32" spans="1:21" ht="15" customHeight="1" thickBot="1" x14ac:dyDescent="0.25">
      <c r="A32" s="90" t="s">
        <v>8</v>
      </c>
      <c r="B32" s="58" t="s">
        <v>13</v>
      </c>
      <c r="C32" s="16">
        <v>92.464934924811118</v>
      </c>
      <c r="D32" s="4">
        <v>91.729911041957649</v>
      </c>
      <c r="E32" s="4">
        <v>91.04960056497606</v>
      </c>
      <c r="F32" s="4">
        <v>87.485657970434943</v>
      </c>
      <c r="G32" s="4">
        <v>80.590009985541727</v>
      </c>
      <c r="H32" s="4">
        <v>66.439197600266638</v>
      </c>
      <c r="I32" s="17">
        <v>56.148664136804747</v>
      </c>
      <c r="J32" s="4"/>
      <c r="K32" s="3"/>
      <c r="L32" s="4"/>
      <c r="M32" s="90" t="s">
        <v>8</v>
      </c>
      <c r="N32" s="58" t="s">
        <v>13</v>
      </c>
      <c r="O32" s="16">
        <v>3.9615144738638972</v>
      </c>
      <c r="P32" s="4">
        <v>4.2747923956050284</v>
      </c>
      <c r="Q32" s="4">
        <v>4.5784763436052112</v>
      </c>
      <c r="R32" s="4">
        <v>4.6603677891900546</v>
      </c>
      <c r="S32" s="4">
        <v>6.0703908021256909</v>
      </c>
      <c r="T32" s="4">
        <v>8.2437840467594441</v>
      </c>
      <c r="U32" s="17">
        <v>10.80531915750919</v>
      </c>
    </row>
    <row r="33" spans="1:21" ht="15" thickBot="1" x14ac:dyDescent="0.25">
      <c r="A33" s="91"/>
      <c r="B33" s="54" t="s">
        <v>14</v>
      </c>
      <c r="C33" s="5">
        <v>91.774607805301983</v>
      </c>
      <c r="D33" s="6">
        <v>91.995252385465662</v>
      </c>
      <c r="E33" s="6">
        <v>91.677335926075884</v>
      </c>
      <c r="F33" s="6">
        <v>88.879299451861826</v>
      </c>
      <c r="G33" s="6">
        <v>83.985258595887942</v>
      </c>
      <c r="H33" s="6">
        <v>65.731292630891019</v>
      </c>
      <c r="I33" s="7">
        <v>52.732989292162138</v>
      </c>
      <c r="J33" s="4"/>
      <c r="K33" s="3"/>
      <c r="L33" s="4"/>
      <c r="M33" s="91"/>
      <c r="N33" s="54" t="s">
        <v>14</v>
      </c>
      <c r="O33" s="5">
        <v>4.4544832367332772</v>
      </c>
      <c r="P33" s="6">
        <v>4.0297709477642663</v>
      </c>
      <c r="Q33" s="6">
        <v>4.1710876436936273</v>
      </c>
      <c r="R33" s="6">
        <v>5.4579882837225497</v>
      </c>
      <c r="S33" s="6">
        <v>5.9477145691105049</v>
      </c>
      <c r="T33" s="6">
        <v>10.175415058463971</v>
      </c>
      <c r="U33" s="7">
        <v>11.627506884507751</v>
      </c>
    </row>
    <row r="34" spans="1:21" ht="15" thickBot="1" x14ac:dyDescent="0.25">
      <c r="A34" s="90" t="s">
        <v>21</v>
      </c>
      <c r="B34" s="59" t="s">
        <v>13</v>
      </c>
      <c r="C34" s="8">
        <v>92.884361669050705</v>
      </c>
      <c r="D34" s="9">
        <v>92.221510213111813</v>
      </c>
      <c r="E34" s="9">
        <v>91.155723543600786</v>
      </c>
      <c r="F34" s="9">
        <v>90.596606243787235</v>
      </c>
      <c r="G34" s="9">
        <v>88.905036923356732</v>
      </c>
      <c r="H34" s="9">
        <v>78.896073411293827</v>
      </c>
      <c r="I34" s="10">
        <v>61.684393678237477</v>
      </c>
      <c r="J34" s="4"/>
      <c r="K34" s="3"/>
      <c r="L34" s="4"/>
      <c r="M34" s="90" t="s">
        <v>21</v>
      </c>
      <c r="N34" s="59" t="s">
        <v>13</v>
      </c>
      <c r="O34" s="8">
        <v>3.703796181354345</v>
      </c>
      <c r="P34" s="9">
        <v>4.2015924831145606</v>
      </c>
      <c r="Q34" s="9">
        <v>3.3259729593217382</v>
      </c>
      <c r="R34" s="9">
        <v>2.9870351613822912</v>
      </c>
      <c r="S34" s="9">
        <v>3.4413258967806168</v>
      </c>
      <c r="T34" s="9">
        <v>6.1232761752727054</v>
      </c>
      <c r="U34" s="10">
        <v>7.9178361199920957</v>
      </c>
    </row>
    <row r="35" spans="1:21" ht="15" thickBot="1" x14ac:dyDescent="0.25">
      <c r="A35" s="91"/>
      <c r="B35" s="54" t="s">
        <v>14</v>
      </c>
      <c r="C35" s="5">
        <v>92.976160289720326</v>
      </c>
      <c r="D35" s="6">
        <v>91.458234182656923</v>
      </c>
      <c r="E35" s="6">
        <v>90.726064532321843</v>
      </c>
      <c r="F35" s="6">
        <v>89.020295751977415</v>
      </c>
      <c r="G35" s="6">
        <v>84.508536749906014</v>
      </c>
      <c r="H35" s="6">
        <v>68.710875881175554</v>
      </c>
      <c r="I35" s="7">
        <v>52.285439818545356</v>
      </c>
      <c r="J35" s="4"/>
      <c r="K35" s="3"/>
      <c r="L35" s="4"/>
      <c r="M35" s="91"/>
      <c r="N35" s="54" t="s">
        <v>14</v>
      </c>
      <c r="O35" s="5">
        <v>3.621821167197139</v>
      </c>
      <c r="P35" s="6">
        <v>4.0726710380082025</v>
      </c>
      <c r="Q35" s="6">
        <v>3.4884808134500442</v>
      </c>
      <c r="R35" s="6">
        <v>3.3964980255654078</v>
      </c>
      <c r="S35" s="6">
        <v>5.6839465833440732</v>
      </c>
      <c r="T35" s="6">
        <v>8.1802984888020767</v>
      </c>
      <c r="U35" s="7">
        <v>9.6106499747112792</v>
      </c>
    </row>
    <row r="36" spans="1:21" ht="15" thickBot="1" x14ac:dyDescent="0.25">
      <c r="A36" s="11"/>
      <c r="B36" s="12"/>
      <c r="C36" s="13"/>
      <c r="D36" s="13"/>
      <c r="E36" s="13"/>
      <c r="F36" s="13"/>
      <c r="G36" s="13"/>
      <c r="H36" s="13"/>
      <c r="I36" s="14"/>
      <c r="J36" s="15"/>
      <c r="K36" s="3"/>
      <c r="L36" s="4"/>
      <c r="M36" s="11"/>
      <c r="N36" s="12"/>
      <c r="O36" s="13"/>
      <c r="P36" s="13"/>
      <c r="Q36" s="13"/>
      <c r="R36" s="13"/>
      <c r="S36" s="13"/>
      <c r="T36" s="13"/>
      <c r="U36" s="14"/>
    </row>
    <row r="37" spans="1:21" ht="15" thickBot="1" x14ac:dyDescent="0.25">
      <c r="A37" s="94" t="s">
        <v>11</v>
      </c>
      <c r="B37" s="95"/>
      <c r="C37" s="95"/>
      <c r="D37" s="95"/>
      <c r="E37" s="95"/>
      <c r="F37" s="95"/>
      <c r="G37" s="95"/>
      <c r="H37" s="95"/>
      <c r="I37" s="96"/>
      <c r="J37" s="3"/>
      <c r="K37" s="3"/>
      <c r="L37" s="4"/>
      <c r="M37" s="94" t="s">
        <v>11</v>
      </c>
      <c r="N37" s="95"/>
      <c r="O37" s="95"/>
      <c r="P37" s="95"/>
      <c r="Q37" s="95"/>
      <c r="R37" s="95"/>
      <c r="S37" s="95"/>
      <c r="T37" s="95"/>
      <c r="U37" s="96"/>
    </row>
    <row r="38" spans="1:21" x14ac:dyDescent="0.2">
      <c r="A38" s="82" t="s">
        <v>0</v>
      </c>
      <c r="B38" s="58" t="s">
        <v>1</v>
      </c>
      <c r="C38" s="8">
        <v>92.930661960970482</v>
      </c>
      <c r="D38" s="9">
        <v>92.466346589819949</v>
      </c>
      <c r="E38" s="9">
        <v>91.78392331634663</v>
      </c>
      <c r="F38" s="9">
        <v>90.491730813295305</v>
      </c>
      <c r="G38" s="9">
        <v>85.013566770989001</v>
      </c>
      <c r="H38" s="9">
        <v>64.482797212114178</v>
      </c>
      <c r="I38" s="10">
        <v>49.924881961408218</v>
      </c>
      <c r="J38" s="4"/>
      <c r="K38" s="3"/>
      <c r="L38" s="4"/>
      <c r="M38" s="82" t="s">
        <v>0</v>
      </c>
      <c r="N38" s="58" t="s">
        <v>1</v>
      </c>
      <c r="O38" s="8">
        <v>3.9550266064014323</v>
      </c>
      <c r="P38" s="9">
        <v>4.3658051402574474</v>
      </c>
      <c r="Q38" s="9">
        <v>4.3813061690546569</v>
      </c>
      <c r="R38" s="9">
        <v>4.0052196073831112</v>
      </c>
      <c r="S38" s="9">
        <v>6.1653048157430339</v>
      </c>
      <c r="T38" s="9">
        <v>8.0935811451150599</v>
      </c>
      <c r="U38" s="10">
        <v>7.8587140311175059</v>
      </c>
    </row>
    <row r="39" spans="1:21" x14ac:dyDescent="0.2">
      <c r="A39" s="83"/>
      <c r="B39" s="61" t="s">
        <v>2</v>
      </c>
      <c r="C39" s="16">
        <v>93.091828978938523</v>
      </c>
      <c r="D39" s="4">
        <v>91.816438491814012</v>
      </c>
      <c r="E39" s="4">
        <v>91.294211183013203</v>
      </c>
      <c r="F39" s="4">
        <v>88.679974438278407</v>
      </c>
      <c r="G39" s="4">
        <v>83.996989069550324</v>
      </c>
      <c r="H39" s="4">
        <v>63.603124077705665</v>
      </c>
      <c r="I39" s="17">
        <v>44.387263180159643</v>
      </c>
      <c r="J39" s="4"/>
      <c r="K39" s="3"/>
      <c r="L39" s="4"/>
      <c r="M39" s="83"/>
      <c r="N39" s="61" t="s">
        <v>2</v>
      </c>
      <c r="O39" s="16">
        <v>3.8179364837137477</v>
      </c>
      <c r="P39" s="4">
        <v>4.1921650670878448</v>
      </c>
      <c r="Q39" s="4">
        <v>4.1546303917469922</v>
      </c>
      <c r="R39" s="4">
        <v>4.3418762018177972</v>
      </c>
      <c r="S39" s="4">
        <v>4.7010261529570423</v>
      </c>
      <c r="T39" s="4">
        <v>7.7610004583710603</v>
      </c>
      <c r="U39" s="17">
        <v>7.6172413599488218</v>
      </c>
    </row>
    <row r="40" spans="1:21" x14ac:dyDescent="0.2">
      <c r="A40" s="83"/>
      <c r="B40" s="61" t="s">
        <v>3</v>
      </c>
      <c r="C40" s="16">
        <v>92.89620921469286</v>
      </c>
      <c r="D40" s="4">
        <v>92.012300359222834</v>
      </c>
      <c r="E40" s="4">
        <v>91.448459960320221</v>
      </c>
      <c r="F40" s="4">
        <v>89.249194645031722</v>
      </c>
      <c r="G40" s="4">
        <v>85.479844202581788</v>
      </c>
      <c r="H40" s="4">
        <v>66.276897457268447</v>
      </c>
      <c r="I40" s="17">
        <v>47.060511904632108</v>
      </c>
      <c r="J40" s="4"/>
      <c r="K40" s="3"/>
      <c r="L40" s="4"/>
      <c r="M40" s="83"/>
      <c r="N40" s="61" t="s">
        <v>3</v>
      </c>
      <c r="O40" s="16">
        <v>3.9891534684396719</v>
      </c>
      <c r="P40" s="4">
        <v>4.1368051983963641</v>
      </c>
      <c r="Q40" s="4">
        <v>4.2694279150350241</v>
      </c>
      <c r="R40" s="4">
        <v>4.4161337551690227</v>
      </c>
      <c r="S40" s="4">
        <v>5.6551403001750238</v>
      </c>
      <c r="T40" s="4">
        <v>6.8867924524838617</v>
      </c>
      <c r="U40" s="17">
        <v>7.5751068234007706</v>
      </c>
    </row>
    <row r="41" spans="1:21" x14ac:dyDescent="0.2">
      <c r="A41" s="83"/>
      <c r="B41" s="61" t="s">
        <v>4</v>
      </c>
      <c r="C41" s="16">
        <v>92.735279794691138</v>
      </c>
      <c r="D41" s="4">
        <v>91.664680530833593</v>
      </c>
      <c r="E41" s="4">
        <v>91.044276855644057</v>
      </c>
      <c r="F41" s="4">
        <v>89.059716819932788</v>
      </c>
      <c r="G41" s="4">
        <v>82.559219226002583</v>
      </c>
      <c r="H41" s="4">
        <v>56.911896986388975</v>
      </c>
      <c r="I41" s="17">
        <v>48.251625824111869</v>
      </c>
      <c r="J41" s="4"/>
      <c r="K41" s="3"/>
      <c r="L41" s="4"/>
      <c r="M41" s="83"/>
      <c r="N41" s="61" t="s">
        <v>4</v>
      </c>
      <c r="O41" s="16">
        <v>4.0434132241778213</v>
      </c>
      <c r="P41" s="4">
        <v>4.2691437950202129</v>
      </c>
      <c r="Q41" s="4">
        <v>4.340477664588267</v>
      </c>
      <c r="R41" s="4">
        <v>4.5058698538787123</v>
      </c>
      <c r="S41" s="4">
        <v>5.6232311188231616</v>
      </c>
      <c r="T41" s="4">
        <v>8.593216541703864</v>
      </c>
      <c r="U41" s="17">
        <v>6.2126345146488076</v>
      </c>
    </row>
    <row r="42" spans="1:21" x14ac:dyDescent="0.2">
      <c r="A42" s="83"/>
      <c r="B42" s="61" t="s">
        <v>5</v>
      </c>
      <c r="C42" s="16">
        <v>93.080002011501648</v>
      </c>
      <c r="D42" s="4">
        <v>92.404699684527174</v>
      </c>
      <c r="E42" s="4">
        <v>91.954665470304633</v>
      </c>
      <c r="F42" s="4">
        <v>90.330159265971631</v>
      </c>
      <c r="G42" s="4">
        <v>87.581623871243721</v>
      </c>
      <c r="H42" s="4">
        <v>65.444409478323934</v>
      </c>
      <c r="I42" s="17">
        <v>48.033248541752563</v>
      </c>
      <c r="J42" s="4"/>
      <c r="K42" s="3"/>
      <c r="L42" s="4"/>
      <c r="M42" s="83"/>
      <c r="N42" s="61" t="s">
        <v>5</v>
      </c>
      <c r="O42" s="16">
        <v>3.9102661302704655</v>
      </c>
      <c r="P42" s="4">
        <v>4.3598859096399458</v>
      </c>
      <c r="Q42" s="4">
        <v>4.2712793015123891</v>
      </c>
      <c r="R42" s="4">
        <v>4.1574178865306539</v>
      </c>
      <c r="S42" s="4">
        <v>4.7707037217115724</v>
      </c>
      <c r="T42" s="4">
        <v>8.6315293901629762</v>
      </c>
      <c r="U42" s="17">
        <v>8.7995985722272874</v>
      </c>
    </row>
    <row r="43" spans="1:21" x14ac:dyDescent="0.2">
      <c r="A43" s="83"/>
      <c r="B43" s="61" t="s">
        <v>6</v>
      </c>
      <c r="C43" s="16">
        <v>92.97183841556577</v>
      </c>
      <c r="D43" s="4">
        <v>92.103907277651757</v>
      </c>
      <c r="E43" s="4">
        <v>91.729197391076127</v>
      </c>
      <c r="F43" s="4">
        <v>88.909951088566785</v>
      </c>
      <c r="G43" s="4">
        <v>84.714894537983682</v>
      </c>
      <c r="H43" s="4">
        <v>61.620187860136021</v>
      </c>
      <c r="I43" s="17">
        <v>46.107574139402402</v>
      </c>
      <c r="J43" s="4"/>
      <c r="K43" s="3"/>
      <c r="L43" s="4"/>
      <c r="M43" s="83"/>
      <c r="N43" s="61" t="s">
        <v>6</v>
      </c>
      <c r="O43" s="16">
        <v>3.6900964523635289</v>
      </c>
      <c r="P43" s="4">
        <v>4.0982333495079848</v>
      </c>
      <c r="Q43" s="4">
        <v>4.1424958783803678</v>
      </c>
      <c r="R43" s="4">
        <v>4.9147660267528899</v>
      </c>
      <c r="S43" s="4">
        <v>4.7218856274545509</v>
      </c>
      <c r="T43" s="4">
        <v>7.8718932836851945</v>
      </c>
      <c r="U43" s="17">
        <v>5.9398483385085461</v>
      </c>
    </row>
    <row r="44" spans="1:21" ht="15" thickBot="1" x14ac:dyDescent="0.25">
      <c r="A44" s="84"/>
      <c r="B44" s="56" t="s">
        <v>7</v>
      </c>
      <c r="C44" s="18">
        <v>92.735279794691138</v>
      </c>
      <c r="D44" s="19">
        <v>91.664680530833593</v>
      </c>
      <c r="E44" s="19">
        <v>91.044276855644057</v>
      </c>
      <c r="F44" s="19">
        <v>89.059716819932788</v>
      </c>
      <c r="G44" s="19">
        <v>82.559219226002583</v>
      </c>
      <c r="H44" s="19">
        <v>56.911896986388975</v>
      </c>
      <c r="I44" s="20">
        <v>48.251625824111869</v>
      </c>
      <c r="J44" s="4"/>
      <c r="K44" s="3"/>
      <c r="L44" s="4"/>
      <c r="M44" s="84"/>
      <c r="N44" s="56" t="s">
        <v>7</v>
      </c>
      <c r="O44" s="18">
        <v>4.0434132241778213</v>
      </c>
      <c r="P44" s="19">
        <v>4.2691437950202129</v>
      </c>
      <c r="Q44" s="19">
        <v>4.340477664588267</v>
      </c>
      <c r="R44" s="19">
        <v>4.5058698538787123</v>
      </c>
      <c r="S44" s="19">
        <v>5.6232311188231616</v>
      </c>
      <c r="T44" s="19">
        <v>8.593216541703864</v>
      </c>
      <c r="U44" s="20">
        <v>6.2126345146488076</v>
      </c>
    </row>
    <row r="45" spans="1:21" ht="15" thickBo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4.25" customHeight="1" thickBot="1" x14ac:dyDescent="0.25">
      <c r="A46" s="67" t="s">
        <v>9</v>
      </c>
      <c r="B46" s="68"/>
      <c r="C46" s="68"/>
      <c r="D46" s="68"/>
      <c r="E46" s="68"/>
      <c r="F46" s="68"/>
      <c r="G46" s="68"/>
      <c r="H46" s="68"/>
      <c r="I46" s="89"/>
      <c r="J46" s="3"/>
      <c r="K46" s="3"/>
      <c r="L46" s="4"/>
      <c r="M46" s="67" t="s">
        <v>9</v>
      </c>
      <c r="N46" s="68"/>
      <c r="O46" s="68"/>
      <c r="P46" s="68"/>
      <c r="Q46" s="68"/>
      <c r="R46" s="68"/>
      <c r="S46" s="68"/>
      <c r="T46" s="68"/>
      <c r="U46" s="89"/>
    </row>
    <row r="47" spans="1:21" ht="14.25" customHeight="1" x14ac:dyDescent="0.2">
      <c r="A47" s="82" t="s">
        <v>0</v>
      </c>
      <c r="B47" s="58" t="s">
        <v>1</v>
      </c>
      <c r="C47" s="8"/>
      <c r="D47" s="9"/>
      <c r="E47" s="9"/>
      <c r="F47" s="9"/>
      <c r="G47" s="9"/>
      <c r="H47" s="9"/>
      <c r="I47" s="10"/>
      <c r="J47" s="4"/>
      <c r="K47" s="3"/>
      <c r="L47" s="4"/>
      <c r="M47" s="82" t="s">
        <v>0</v>
      </c>
      <c r="N47" s="58" t="s">
        <v>1</v>
      </c>
      <c r="O47" s="8"/>
      <c r="P47" s="9"/>
      <c r="Q47" s="9"/>
      <c r="R47" s="9"/>
      <c r="S47" s="9"/>
      <c r="T47" s="9"/>
      <c r="U47" s="10"/>
    </row>
    <row r="48" spans="1:21" ht="14.25" customHeight="1" x14ac:dyDescent="0.2">
      <c r="A48" s="83"/>
      <c r="B48" s="61" t="s">
        <v>2</v>
      </c>
      <c r="C48" s="16"/>
      <c r="D48" s="4"/>
      <c r="E48" s="4"/>
      <c r="F48" s="4"/>
      <c r="G48" s="4"/>
      <c r="H48" s="4"/>
      <c r="I48" s="17"/>
      <c r="J48" s="4"/>
      <c r="K48" s="3"/>
      <c r="L48" s="4"/>
      <c r="M48" s="83"/>
      <c r="N48" s="61" t="s">
        <v>2</v>
      </c>
      <c r="O48" s="16"/>
      <c r="P48" s="4"/>
      <c r="Q48" s="4"/>
      <c r="R48" s="4"/>
      <c r="S48" s="4"/>
      <c r="T48" s="4"/>
      <c r="U48" s="17"/>
    </row>
    <row r="49" spans="1:21" ht="14.25" customHeight="1" x14ac:dyDescent="0.2">
      <c r="A49" s="83"/>
      <c r="B49" s="61" t="s">
        <v>3</v>
      </c>
      <c r="C49" s="16"/>
      <c r="D49" s="4"/>
      <c r="E49" s="4"/>
      <c r="F49" s="4"/>
      <c r="G49" s="4"/>
      <c r="H49" s="4"/>
      <c r="I49" s="17"/>
      <c r="J49" s="4"/>
      <c r="K49" s="3"/>
      <c r="L49" s="4"/>
      <c r="M49" s="83"/>
      <c r="N49" s="61" t="s">
        <v>3</v>
      </c>
      <c r="O49" s="16"/>
      <c r="P49" s="4"/>
      <c r="Q49" s="4"/>
      <c r="R49" s="4"/>
      <c r="S49" s="4"/>
      <c r="T49" s="4"/>
      <c r="U49" s="17"/>
    </row>
    <row r="50" spans="1:21" ht="14.25" customHeight="1" x14ac:dyDescent="0.2">
      <c r="A50" s="83"/>
      <c r="B50" s="61" t="s">
        <v>4</v>
      </c>
      <c r="C50" s="16"/>
      <c r="D50" s="4"/>
      <c r="E50" s="4"/>
      <c r="F50" s="4"/>
      <c r="G50" s="4"/>
      <c r="H50" s="4"/>
      <c r="I50" s="17"/>
      <c r="J50" s="4"/>
      <c r="K50" s="3"/>
      <c r="L50" s="4"/>
      <c r="M50" s="83"/>
      <c r="N50" s="61" t="s">
        <v>4</v>
      </c>
      <c r="O50" s="16"/>
      <c r="P50" s="4"/>
      <c r="Q50" s="4"/>
      <c r="R50" s="4"/>
      <c r="S50" s="4"/>
      <c r="T50" s="4"/>
      <c r="U50" s="17"/>
    </row>
    <row r="51" spans="1:21" ht="14.25" customHeight="1" x14ac:dyDescent="0.2">
      <c r="A51" s="83"/>
      <c r="B51" s="61" t="s">
        <v>5</v>
      </c>
      <c r="C51" s="16"/>
      <c r="D51" s="4"/>
      <c r="E51" s="4"/>
      <c r="F51" s="4"/>
      <c r="G51" s="4"/>
      <c r="H51" s="4"/>
      <c r="I51" s="17"/>
      <c r="J51" s="4"/>
      <c r="K51" s="3"/>
      <c r="L51" s="4"/>
      <c r="M51" s="83"/>
      <c r="N51" s="61" t="s">
        <v>5</v>
      </c>
      <c r="O51" s="16"/>
      <c r="P51" s="4"/>
      <c r="Q51" s="4"/>
      <c r="R51" s="4"/>
      <c r="S51" s="4"/>
      <c r="T51" s="4"/>
      <c r="U51" s="17"/>
    </row>
    <row r="52" spans="1:21" ht="14.25" customHeight="1" x14ac:dyDescent="0.2">
      <c r="A52" s="83"/>
      <c r="B52" s="61" t="s">
        <v>6</v>
      </c>
      <c r="C52" s="16"/>
      <c r="D52" s="4"/>
      <c r="E52" s="4"/>
      <c r="F52" s="4"/>
      <c r="G52" s="4"/>
      <c r="H52" s="4"/>
      <c r="I52" s="17"/>
      <c r="J52" s="4"/>
      <c r="K52" s="3"/>
      <c r="L52" s="4"/>
      <c r="M52" s="83"/>
      <c r="N52" s="61" t="s">
        <v>6</v>
      </c>
      <c r="O52" s="16"/>
      <c r="P52" s="4"/>
      <c r="Q52" s="4"/>
      <c r="R52" s="4"/>
      <c r="S52" s="4"/>
      <c r="T52" s="4"/>
      <c r="U52" s="17"/>
    </row>
    <row r="53" spans="1:21" ht="14.25" customHeight="1" thickBot="1" x14ac:dyDescent="0.25">
      <c r="A53" s="84"/>
      <c r="B53" s="56" t="s">
        <v>7</v>
      </c>
      <c r="C53" s="18"/>
      <c r="D53" s="19"/>
      <c r="E53" s="19"/>
      <c r="F53" s="19"/>
      <c r="G53" s="19"/>
      <c r="H53" s="19"/>
      <c r="I53" s="20"/>
      <c r="J53" s="4"/>
      <c r="K53" s="3"/>
      <c r="L53" s="4"/>
      <c r="M53" s="84"/>
      <c r="N53" s="56" t="s">
        <v>7</v>
      </c>
      <c r="O53" s="18"/>
      <c r="P53" s="19"/>
      <c r="Q53" s="19"/>
      <c r="R53" s="19"/>
      <c r="S53" s="19"/>
      <c r="T53" s="19"/>
      <c r="U53" s="20"/>
    </row>
  </sheetData>
  <mergeCells count="36">
    <mergeCell ref="A2:B2"/>
    <mergeCell ref="M2:N2"/>
    <mergeCell ref="A10:I10"/>
    <mergeCell ref="M10:U10"/>
    <mergeCell ref="A11:A17"/>
    <mergeCell ref="A5:A6"/>
    <mergeCell ref="M5:M6"/>
    <mergeCell ref="A4:B4"/>
    <mergeCell ref="A7:A8"/>
    <mergeCell ref="A3:B3"/>
    <mergeCell ref="M7:M8"/>
    <mergeCell ref="A47:A53"/>
    <mergeCell ref="M47:M53"/>
    <mergeCell ref="A37:I37"/>
    <mergeCell ref="M37:U37"/>
    <mergeCell ref="A38:A44"/>
    <mergeCell ref="A31:B31"/>
    <mergeCell ref="M3:N3"/>
    <mergeCell ref="M20:M26"/>
    <mergeCell ref="M4:N4"/>
    <mergeCell ref="M11:M17"/>
    <mergeCell ref="M31:N31"/>
    <mergeCell ref="A46:I46"/>
    <mergeCell ref="M46:U46"/>
    <mergeCell ref="A32:A33"/>
    <mergeCell ref="A34:A35"/>
    <mergeCell ref="M32:M33"/>
    <mergeCell ref="M34:M35"/>
    <mergeCell ref="M38:M44"/>
    <mergeCell ref="A30:B30"/>
    <mergeCell ref="M30:N30"/>
    <mergeCell ref="M19:U19"/>
    <mergeCell ref="A20:A26"/>
    <mergeCell ref="A29:B29"/>
    <mergeCell ref="M29:N29"/>
    <mergeCell ref="A19:I19"/>
  </mergeCells>
  <phoneticPr fontId="1" type="noConversion"/>
  <conditionalFormatting sqref="A30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1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2:A35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0:B30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I3 A5:I26 A4 C4:I4">
    <cfRule type="colorScale" priority="2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I26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2:B35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4 A3:A4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4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 J5:J26 I3:I4">
    <cfRule type="colorScale" priority="2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 J9:J26 C5:J8 I3:I4">
    <cfRule type="colorScale" priority="2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8 C11:I17 C20:I26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I18"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:I26 C2:I2 J9:J26 C5:J8 I3:I4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:I26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:J2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4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2 C5:J8 J14:J17 J19:J22 J24:J26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26">
    <cfRule type="colorScale" priority="2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5:M8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0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1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2:M3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:N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1:N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0:N30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32:N35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plv_Residual&amp;Competitors</vt:lpstr>
      <vt:lpstr>plv_Residual_fulldata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2025-12-23T14:42:06Z</dcterms:modified>
</cp:coreProperties>
</file>