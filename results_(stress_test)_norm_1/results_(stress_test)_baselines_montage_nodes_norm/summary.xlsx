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F:\RnD_Repo\Research_Engineering\modeling_vce_residual\results_(stress_test)_baselines_montage_nodes_norm\"/>
    </mc:Choice>
  </mc:AlternateContent>
  <xr:revisionPtr revIDLastSave="0" documentId="13_ncr:1_{C989CFC8-C066-47EB-A38D-6A04FDA45515}" xr6:coauthVersionLast="47" xr6:coauthVersionMax="47" xr10:uidLastSave="{00000000-0000-0000-0000-000000000000}"/>
  <bookViews>
    <workbookView xWindow="-120" yWindow="-120" windowWidth="29040" windowHeight="15720" tabRatio="639" xr2:uid="{00000000-000D-0000-FFFF-FFFF00000000}"/>
  </bookViews>
  <sheets>
    <sheet name="20260531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" i="6" l="1" a="1"/>
  <c r="I7" i="6" s="1"/>
  <c r="I6" i="6" a="1"/>
  <c r="I6" i="6" s="1"/>
  <c r="I5" i="6" a="1"/>
  <c r="I5" i="6" s="1"/>
  <c r="H6" i="6" a="1"/>
  <c r="H6" i="6"/>
  <c r="H7" i="6" a="1"/>
  <c r="H7" i="6" s="1"/>
  <c r="H3" i="6" a="1"/>
  <c r="H3" i="6" s="1"/>
  <c r="H2" i="6" a="1"/>
  <c r="H2" i="6" s="1"/>
  <c r="H5" i="6" a="1"/>
  <c r="H5" i="6" s="1"/>
  <c r="I13" i="6" a="1"/>
  <c r="I13" i="6" s="1"/>
  <c r="I12" i="6" a="1"/>
  <c r="I12" i="6" s="1"/>
  <c r="H12" i="6" a="1"/>
  <c r="H12" i="6" s="1"/>
  <c r="H8" i="6" a="1"/>
  <c r="H8" i="6" s="1"/>
  <c r="H13" i="6" a="1"/>
  <c r="H13" i="6" s="1"/>
  <c r="H11" i="6" a="1"/>
  <c r="H11" i="6" s="1"/>
  <c r="H10" i="6" a="1"/>
  <c r="H10" i="6" s="1"/>
  <c r="I8" i="6" a="1"/>
  <c r="I8" i="6" s="1"/>
  <c r="I11" i="6" a="1"/>
  <c r="I11" i="6" s="1"/>
  <c r="I10" i="6" a="1"/>
  <c r="I10" i="6" s="1"/>
  <c r="I3" i="6" a="1"/>
  <c r="I3" i="6" s="1"/>
  <c r="I2" i="6" a="1"/>
  <c r="I2" i="6" s="1"/>
  <c r="R13" i="6"/>
  <c r="J13" i="6"/>
  <c r="R12" i="6"/>
  <c r="J12" i="6"/>
  <c r="R11" i="6"/>
  <c r="J11" i="6"/>
  <c r="R10" i="6"/>
  <c r="J10" i="6"/>
  <c r="R8" i="6"/>
  <c r="J8" i="6"/>
  <c r="R5" i="6"/>
  <c r="J5" i="6"/>
  <c r="R3" i="6"/>
  <c r="J3" i="6"/>
  <c r="R2" i="6"/>
  <c r="J2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<sst xmlns="http://schemas.openxmlformats.org/spreadsheetml/2006/main" count="34" uniqueCount="24">
  <si>
    <t>Accuracy</t>
    <phoneticPr fontId="1" type="noConversion"/>
  </si>
  <si>
    <t>NRR</t>
    <phoneticPr fontId="1" type="noConversion"/>
  </si>
  <si>
    <t>Accuracy_Std</t>
    <phoneticPr fontId="1" type="noConversion"/>
  </si>
  <si>
    <t>Original FN, PCC</t>
    <phoneticPr fontId="1" type="noConversion"/>
  </si>
  <si>
    <t>Original FN, PLV</t>
    <phoneticPr fontId="1" type="noConversion"/>
  </si>
  <si>
    <t>Additive Fusion</t>
    <phoneticPr fontId="1" type="noConversion"/>
  </si>
  <si>
    <t>Multipicative Fusion</t>
    <phoneticPr fontId="1" type="noConversion"/>
  </si>
  <si>
    <t>AUC</t>
    <phoneticPr fontId="1" type="noConversion"/>
  </si>
  <si>
    <t>PC-AEC</t>
    <phoneticPr fontId="1" type="noConversion"/>
  </si>
  <si>
    <t>PCC &amp; PLV</t>
    <phoneticPr fontId="1" type="noConversion"/>
  </si>
  <si>
    <t>Splicing-1 (upper-lower triangular)</t>
    <phoneticPr fontId="1" type="noConversion"/>
  </si>
  <si>
    <t>Splicing-2 (diagonal blocking)</t>
    <phoneticPr fontId="1" type="noConversion"/>
  </si>
  <si>
    <t>Residual Model</t>
    <phoneticPr fontId="1" type="noConversion"/>
  </si>
  <si>
    <t>Exponential</t>
    <phoneticPr fontId="1" type="noConversion"/>
  </si>
  <si>
    <t>Rational Quadratic</t>
    <phoneticPr fontId="1" type="noConversion"/>
  </si>
  <si>
    <t>Generalized Gaussian</t>
    <phoneticPr fontId="1" type="noConversion"/>
  </si>
  <si>
    <t>Sigmoid</t>
    <phoneticPr fontId="1" type="noConversion"/>
  </si>
  <si>
    <t>Model Config (Basic Model&amp;Linaer Recovery): 
FN_re=FN_ob-alpha*f(DM(sigma))</t>
    <phoneticPr fontId="1" type="noConversion"/>
  </si>
  <si>
    <t>Surface_Laplacian_Filtering</t>
    <phoneticPr fontId="1" type="noConversion"/>
  </si>
  <si>
    <t>Spatio_Spectral_Decomposition</t>
    <phoneticPr fontId="1" type="noConversion"/>
  </si>
  <si>
    <t>Generalized Surface Laplacian</t>
  </si>
  <si>
    <t>basic optimal</t>
    <phoneticPr fontId="1" type="noConversion"/>
  </si>
  <si>
    <t>Graph Laplacian Highpass</t>
  </si>
  <si>
    <t>Comps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</si>
</sst>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4" fillId="2" borderId="6" xfId="0" applyFont="1" applyFill="1" applyBorder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vertical="top"/>
    </xf>
    <xf numFmtId="0" fontId="2" fillId="2" borderId="0" xfId="0" applyFont="1" applyFill="1"/>
    <xf numFmtId="0" fontId="4" fillId="2" borderId="9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4" xfId="0" applyFont="1" applyFill="1" applyBorder="1"/>
    <xf numFmtId="0" fontId="2" fillId="2" borderId="5" xfId="0" applyFont="1" applyFill="1" applyBorder="1"/>
    <xf numFmtId="0" fontId="5" fillId="2" borderId="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7D530-62F3-45D6-8CBF-3B0602E24BE5}">
  <dimension ref="A1:R20"/>
  <sheetViews>
    <sheetView tabSelected="1" zoomScaleNormal="100" workbookViewId="0">
      <selection activeCell="C8" sqref="C8:G8"/>
    </sheetView>
  </sheetViews>
  <sheetFormatPr defaultRowHeight="14.25" x14ac:dyDescent="0.2"/>
  <cols>
    <col min="1" max="1" width="25" style="2" customWidth="1"/>
    <col min="2" max="2" width="15" style="2" customWidth="1"/>
    <col min="3" max="10" width="9" style="2"/>
    <col min="11" max="11" width="25" style="2" customWidth="1"/>
    <col min="12" max="12" width="15" style="2" customWidth="1"/>
    <col min="13" max="16384" width="9" style="2"/>
  </cols>
  <sheetData>
    <row r="1" spans="1:18" ht="15.75" thickBot="1" x14ac:dyDescent="0.25">
      <c r="A1" s="1" t="s">
        <v>0</v>
      </c>
      <c r="B1" s="5" t="s">
        <v>1</v>
      </c>
      <c r="C1" s="6">
        <v>1</v>
      </c>
      <c r="D1" s="6">
        <v>0.5</v>
      </c>
      <c r="E1" s="6">
        <v>0.25</v>
      </c>
      <c r="F1" s="6">
        <v>0.125</v>
      </c>
      <c r="G1" s="6">
        <v>6.25E-2</v>
      </c>
      <c r="H1" s="7" t="s">
        <v>7</v>
      </c>
      <c r="I1" s="7" t="s">
        <v>7</v>
      </c>
      <c r="J1" s="4"/>
      <c r="K1" s="1" t="s">
        <v>2</v>
      </c>
      <c r="L1" s="5" t="s">
        <v>1</v>
      </c>
      <c r="M1" s="6">
        <v>1</v>
      </c>
      <c r="N1" s="6">
        <v>0.5</v>
      </c>
      <c r="O1" s="6">
        <v>0.25</v>
      </c>
      <c r="P1" s="6">
        <v>0.125</v>
      </c>
      <c r="Q1" s="6">
        <v>6.25E-2</v>
      </c>
      <c r="R1" s="4"/>
    </row>
    <row r="2" spans="1:18" ht="15.75" thickBot="1" x14ac:dyDescent="0.25">
      <c r="A2" s="23" t="s">
        <v>3</v>
      </c>
      <c r="B2" s="24"/>
      <c r="C2">
        <v>93.358007710562632</v>
      </c>
      <c r="D2">
        <v>92.298581014253315</v>
      </c>
      <c r="E2">
        <v>91.014354218750455</v>
      </c>
      <c r="F2">
        <v>75.062154516907597</v>
      </c>
      <c r="G2">
        <v>55.398506907499197</v>
      </c>
      <c r="H2" s="8" cm="1">
        <f t="array" ref="H2">-SUMPRODUCT((D1:F1-C1:E1)*(C2:E2+D2:F2)/2)</f>
        <v>79.708045881308095</v>
      </c>
      <c r="I2" s="8" cm="1">
        <f t="array" ref="I2">-SUMPRODUCT((D1:G1-C1:F1)*(C2:F2+D2:G2)/2)</f>
        <v>83.784941550820804</v>
      </c>
      <c r="J2" s="4" t="str">
        <f>"    "&amp;_xlfn.TEXTJOIN(", ",TRUE,C2:G2)&amp;","</f>
        <v xml:space="preserve">    93.3580077105626, 92.2985810142533, 91.0143542187505, 75.0621545169076, 55.3985069074992,</v>
      </c>
      <c r="K2" s="23" t="s">
        <v>3</v>
      </c>
      <c r="L2" s="24"/>
      <c r="M2">
        <v>3.5245922173674802</v>
      </c>
      <c r="N2">
        <v>4.3955156591523803</v>
      </c>
      <c r="O2">
        <v>3.8889517074807611</v>
      </c>
      <c r="P2">
        <v>7.9993809813375174</v>
      </c>
      <c r="Q2">
        <v>8.4646559119444191</v>
      </c>
      <c r="R2" s="4" t="str">
        <f>"    "&amp;_xlfn.TEXTJOIN(", ",TRUE,M2:Q2)&amp;","</f>
        <v xml:space="preserve">    3.52459221736748, 4.39551565915238, 3.88895170748076, 7.99938098133752, 8.46465591194442,</v>
      </c>
    </row>
    <row r="3" spans="1:18" ht="15.75" thickBot="1" x14ac:dyDescent="0.25">
      <c r="A3" s="23" t="s">
        <v>4</v>
      </c>
      <c r="B3" s="24"/>
      <c r="C3">
        <v>93.233078717520627</v>
      </c>
      <c r="D3">
        <v>92.652975660112403</v>
      </c>
      <c r="E3">
        <v>90.890177827374515</v>
      </c>
      <c r="F3">
        <v>72.821506529756604</v>
      </c>
      <c r="G3">
        <v>53.612185226515813</v>
      </c>
      <c r="H3" s="8" cm="1">
        <f t="array" ref="H3">-SUMPRODUCT((D1:F1-C1:E1)*(C3:E3+D3:F3)/2)</f>
        <v>79.646388052664818</v>
      </c>
      <c r="I3" s="8" cm="1">
        <f t="array" ref="I3">-SUMPRODUCT((D1:G1-C1:F1)*(C3:F3+D3:G3)/2)</f>
        <v>83.597440920048328</v>
      </c>
      <c r="J3" s="4" t="str">
        <f>"    "&amp;_xlfn.TEXTJOIN(", ",TRUE,C3:G3)&amp;","</f>
        <v xml:space="preserve">    93.2330787175206, 92.6529756601124, 90.8901778273745, 72.8215065297566, 53.6121852265158,</v>
      </c>
      <c r="K3" s="23" t="s">
        <v>4</v>
      </c>
      <c r="L3" s="24"/>
      <c r="M3">
        <v>3.722211538628537</v>
      </c>
      <c r="N3">
        <v>3.5003801340472078</v>
      </c>
      <c r="O3">
        <v>3.2237282546083552</v>
      </c>
      <c r="P3">
        <v>9.2744612682850498</v>
      </c>
      <c r="Q3">
        <v>8.2094589399205269</v>
      </c>
      <c r="R3" s="4" t="str">
        <f>"    "&amp;_xlfn.TEXTJOIN(", ",TRUE,M3:Q3)&amp;","</f>
        <v xml:space="preserve">    3.72221153862854, 3.50038013404721, 3.22372825460836, 9.27446126828505, 8.20945893992053,</v>
      </c>
    </row>
    <row r="4" spans="1:18" ht="32.25" customHeight="1" thickBot="1" x14ac:dyDescent="0.25">
      <c r="A4" s="25" t="s">
        <v>17</v>
      </c>
      <c r="B4" s="26"/>
      <c r="C4" s="26"/>
      <c r="D4" s="26"/>
      <c r="E4" s="26"/>
      <c r="F4" s="26"/>
      <c r="G4" s="26"/>
      <c r="H4" s="10"/>
      <c r="I4" s="10"/>
      <c r="J4" s="4"/>
      <c r="K4" s="23" t="s">
        <v>8</v>
      </c>
      <c r="L4" s="26"/>
      <c r="M4" s="26"/>
      <c r="N4" s="26"/>
      <c r="O4" s="26"/>
      <c r="P4" s="26"/>
      <c r="Q4" s="26"/>
      <c r="R4" s="4"/>
    </row>
    <row r="5" spans="1:18" ht="15.75" customHeight="1" x14ac:dyDescent="0.2">
      <c r="A5" s="28" t="s">
        <v>12</v>
      </c>
      <c r="B5" s="15" t="s">
        <v>13</v>
      </c>
      <c r="C5">
        <v>92.034314022324295</v>
      </c>
      <c r="D5">
        <v>91.792889404079816</v>
      </c>
      <c r="E5">
        <v>90.277118890878526</v>
      </c>
      <c r="F5">
        <v>79.392255411667335</v>
      </c>
      <c r="G5">
        <v>57.492683039357303</v>
      </c>
      <c r="H5" s="10" cm="1">
        <f t="array" ref="H5">-SUMPRODUCT((D1:F1-C1:E1)*(C5:E5+D5:F5)/2)</f>
        <v>79.31988778737994</v>
      </c>
      <c r="I5" s="10" cm="1">
        <f t="array" ref="I5">-SUMPRODUCT((D1:G1-C1:F1)*(C5:F5+D5:G5)/2)</f>
        <v>83.597542113974455</v>
      </c>
      <c r="J5" s="4" t="str">
        <f>"    "&amp;_xlfn.TEXTJOIN(", ",TRUE,C5:G5)&amp;","</f>
        <v xml:space="preserve">    92.0343140223243, 91.7928894040798, 90.2771188908785, 79.3922554116673, 57.4926830393573,</v>
      </c>
      <c r="K5" s="28" t="s">
        <v>12</v>
      </c>
      <c r="L5" s="15" t="s">
        <v>13</v>
      </c>
      <c r="M5"/>
      <c r="N5"/>
      <c r="O5"/>
      <c r="P5"/>
      <c r="Q5"/>
      <c r="R5" s="4" t="str">
        <f>"    "&amp;_xlfn.TEXTJOIN(", ",TRUE,M5:Q5)&amp;","</f>
        <v xml:space="preserve">    ,</v>
      </c>
    </row>
    <row r="6" spans="1:18" ht="15.75" customHeight="1" x14ac:dyDescent="0.2">
      <c r="A6" s="29"/>
      <c r="B6" s="16" t="s">
        <v>14</v>
      </c>
      <c r="C6">
        <v>92.15352689517691</v>
      </c>
      <c r="D6">
        <v>91.57727623556913</v>
      </c>
      <c r="E6">
        <v>90.134976177225653</v>
      </c>
      <c r="F6">
        <v>79.026662091463706</v>
      </c>
      <c r="G6">
        <v>57.959028865109367</v>
      </c>
      <c r="H6" s="10" cm="1">
        <f t="array" ref="H6">-SUMPRODUCT((D1:F1-C1:E1)*(C6:E6+D6:F6)/2)</f>
        <v>79.219334726078941</v>
      </c>
      <c r="I6" s="10" cm="1">
        <f t="array" ref="I6">-SUMPRODUCT((D1:G1-C1:F1)*(C6:F6+D6:G6)/2)</f>
        <v>83.500137568471843</v>
      </c>
      <c r="J6" s="4"/>
      <c r="K6" s="29"/>
      <c r="L6" s="16" t="s">
        <v>14</v>
      </c>
      <c r="M6"/>
      <c r="N6"/>
      <c r="O6"/>
      <c r="P6"/>
      <c r="Q6"/>
      <c r="R6" s="4"/>
    </row>
    <row r="7" spans="1:18" ht="15.75" customHeight="1" x14ac:dyDescent="0.2">
      <c r="A7" s="29"/>
      <c r="B7" s="16" t="s">
        <v>15</v>
      </c>
      <c r="C7">
        <v>91.562831666171661</v>
      </c>
      <c r="D7">
        <v>91.320982207650786</v>
      </c>
      <c r="E7">
        <v>89.959790117369337</v>
      </c>
      <c r="F7">
        <v>78.120570054912037</v>
      </c>
      <c r="G7">
        <v>56.72836462445369</v>
      </c>
      <c r="H7" s="10" cm="1">
        <f t="array" ref="H7">-SUMPRODUCT((D1:F1-C1:E1)*(C7:E7+D7:F7)/2)</f>
        <v>78.886072519850714</v>
      </c>
      <c r="I7" s="10" cm="1">
        <f t="array" ref="I7">-SUMPRODUCT((D1:G1-C1:F1)*(C7:F7+D7:G7)/2)</f>
        <v>83.100101728580896</v>
      </c>
      <c r="J7" s="4"/>
      <c r="K7" s="29"/>
      <c r="L7" s="16" t="s">
        <v>15</v>
      </c>
      <c r="M7"/>
      <c r="N7"/>
      <c r="O7"/>
      <c r="P7"/>
      <c r="Q7"/>
      <c r="R7" s="4"/>
    </row>
    <row r="8" spans="1:18" ht="15.75" customHeight="1" thickBot="1" x14ac:dyDescent="0.25">
      <c r="A8" s="30"/>
      <c r="B8" s="17" t="s">
        <v>16</v>
      </c>
      <c r="C8">
        <v>92.222295271681503</v>
      </c>
      <c r="D8">
        <v>91.582478126012234</v>
      </c>
      <c r="E8">
        <v>89.97715089807582</v>
      </c>
      <c r="F8">
        <v>79.542093309150104</v>
      </c>
      <c r="G8">
        <v>58.458508387711923</v>
      </c>
      <c r="H8" s="10" cm="1">
        <f t="array" ref="H8">-SUMPRODUCT((D1:F1-C1:E1)*(C8:E8+D8:F8)/2)</f>
        <v>79.241099740386062</v>
      </c>
      <c r="I8" s="10" cm="1">
        <f t="array" ref="I8">-SUMPRODUCT((D1:G1-C1:F1)*(C8:F8+D8:G8)/2)</f>
        <v>83.553618543412995</v>
      </c>
      <c r="J8" s="4" t="str">
        <f>"    "&amp;_xlfn.TEXTJOIN(", ",TRUE,C8:G8)&amp;","</f>
        <v xml:space="preserve">    92.2222952716815, 91.5824781260122, 89.9771508980758, 79.5420933091501, 58.4585083877119,</v>
      </c>
      <c r="K8" s="30"/>
      <c r="L8" s="17" t="s">
        <v>16</v>
      </c>
      <c r="M8" s="13"/>
      <c r="N8" s="14"/>
      <c r="O8" s="14"/>
      <c r="P8" s="14"/>
      <c r="Q8" s="14"/>
      <c r="R8" s="4" t="str">
        <f>"    "&amp;_xlfn.TEXTJOIN(", ",TRUE,M8:Q8)&amp;","</f>
        <v xml:space="preserve">    ,</v>
      </c>
    </row>
    <row r="9" spans="1:18" ht="15.75" thickBot="1" x14ac:dyDescent="0.25">
      <c r="A9" s="23" t="s">
        <v>23</v>
      </c>
      <c r="B9" s="26"/>
      <c r="C9" s="27"/>
      <c r="D9" s="27"/>
      <c r="E9" s="27"/>
      <c r="F9" s="27"/>
      <c r="G9" s="27"/>
      <c r="H9" s="10"/>
      <c r="I9" s="10"/>
      <c r="J9" s="4"/>
      <c r="K9" s="23" t="s">
        <v>9</v>
      </c>
      <c r="L9" s="26"/>
      <c r="M9" s="27"/>
      <c r="N9" s="27"/>
      <c r="O9" s="27"/>
      <c r="P9" s="27"/>
      <c r="Q9" s="27"/>
      <c r="R9" s="4"/>
    </row>
    <row r="10" spans="1:18" ht="15.75" customHeight="1" thickBot="1" x14ac:dyDescent="0.25">
      <c r="A10" s="21" t="s">
        <v>18</v>
      </c>
      <c r="B10" s="22"/>
      <c r="C10">
        <v>89.736009827074639</v>
      </c>
      <c r="D10">
        <v>89.621262583009681</v>
      </c>
      <c r="E10">
        <v>86.906400574399413</v>
      </c>
      <c r="F10">
        <v>71.955374469790669</v>
      </c>
      <c r="G10">
        <v>53.00942626377968</v>
      </c>
      <c r="H10" s="10" cm="1">
        <f t="array" ref="H10">-SUMPRODUCT((D1:F1-C1:E1)*(C10:E10+D10:F10)/2)</f>
        <v>76.834136937459093</v>
      </c>
      <c r="I10" s="10" cm="1">
        <f t="array" ref="I10">-SUMPRODUCT((D1:G1-C1:F1)*(C10:F10+D10:G10)/2)</f>
        <v>80.739286960383168</v>
      </c>
      <c r="J10" s="4" t="str">
        <f>"    "&amp;_xlfn.TEXTJOIN(", ",TRUE,C10:G10)&amp;","</f>
        <v xml:space="preserve">    89.7360098270746, 89.6212625830097, 86.9064005743994, 71.9553744697907, 53.0094262637797,</v>
      </c>
      <c r="K10" s="23" t="s">
        <v>5</v>
      </c>
      <c r="L10" s="24"/>
      <c r="M10"/>
      <c r="N10"/>
      <c r="O10"/>
      <c r="P10"/>
      <c r="Q10"/>
      <c r="R10" s="4" t="str">
        <f>"    "&amp;_xlfn.TEXTJOIN(", ",TRUE,M10:Q10)&amp;","</f>
        <v xml:space="preserve">    ,</v>
      </c>
    </row>
    <row r="11" spans="1:18" ht="15.75" customHeight="1" thickBot="1" x14ac:dyDescent="0.25">
      <c r="A11" s="21" t="s">
        <v>19</v>
      </c>
      <c r="B11" s="22"/>
      <c r="C11">
        <v>85.962061378846983</v>
      </c>
      <c r="D11">
        <v>86.407887034778255</v>
      </c>
      <c r="E11">
        <v>84.629743048526933</v>
      </c>
      <c r="F11">
        <v>75.312119193649309</v>
      </c>
      <c r="G11">
        <v>66.5392953226239</v>
      </c>
      <c r="H11" s="10" cm="1">
        <f t="array" ref="H11">-SUMPRODUCT((D1:F1-C1:E1)*(C11:E11+D11:F11)/2)</f>
        <v>74.468557253955481</v>
      </c>
      <c r="I11" s="10" cm="1">
        <f t="array" ref="I11">-SUMPRODUCT((D1:G1-C1:F1)*(C11:F11+D11:G11)/2)</f>
        <v>78.901413957589014</v>
      </c>
      <c r="J11" s="4" t="str">
        <f>"    "&amp;_xlfn.TEXTJOIN(", ",TRUE,C11:G11)&amp;","</f>
        <v xml:space="preserve">    85.962061378847, 86.4078870347783, 84.6297430485269, 75.3121191936493, 66.5392953226239,</v>
      </c>
      <c r="K11" s="23" t="s">
        <v>6</v>
      </c>
      <c r="L11" s="24"/>
      <c r="M11"/>
      <c r="N11"/>
      <c r="O11"/>
      <c r="P11"/>
      <c r="Q11"/>
      <c r="R11" s="4" t="str">
        <f>"    "&amp;_xlfn.TEXTJOIN(", ",TRUE,M11:Q11)&amp;","</f>
        <v xml:space="preserve">    ,</v>
      </c>
    </row>
    <row r="12" spans="1:18" ht="15.75" customHeight="1" thickBot="1" x14ac:dyDescent="0.25">
      <c r="A12" s="19" t="s">
        <v>20</v>
      </c>
      <c r="B12" s="18" t="s">
        <v>21</v>
      </c>
      <c r="C12">
        <v>93.34539802824132</v>
      </c>
      <c r="D12">
        <v>92.681444764516399</v>
      </c>
      <c r="E12">
        <v>90.905676808046209</v>
      </c>
      <c r="F12">
        <v>76.301098337067501</v>
      </c>
      <c r="G12">
        <v>58.149857121024688</v>
      </c>
      <c r="H12" s="10" cm="1">
        <f t="array" ref="H12">-SUMPRODUCT((D1:F1-C1:E1)*(C12:E12+D12:F12)/2)</f>
        <v>79.905524341329354</v>
      </c>
      <c r="I12" s="10" cm="1">
        <f t="array" ref="I12">-SUMPRODUCT((D1:G1-C1:F1)*(C12:F12+D12:G12)/2)</f>
        <v>84.107116699394737</v>
      </c>
      <c r="J12" s="4" t="str">
        <f>"    "&amp;_xlfn.TEXTJOIN(", ",TRUE,C12:G12)&amp;","</f>
        <v xml:space="preserve">    93.3453980282413, 92.6814447645164, 90.9056768080462, 76.3010983370675, 58.1498571210247,</v>
      </c>
      <c r="K12" s="23" t="s">
        <v>10</v>
      </c>
      <c r="L12" s="24"/>
      <c r="M12"/>
      <c r="N12"/>
      <c r="O12"/>
      <c r="P12"/>
      <c r="Q12"/>
      <c r="R12" s="4" t="str">
        <f>"    "&amp;_xlfn.TEXTJOIN(", ",TRUE,M12:Q12)&amp;","</f>
        <v xml:space="preserve">    ,</v>
      </c>
    </row>
    <row r="13" spans="1:18" ht="15.75" customHeight="1" thickBot="1" x14ac:dyDescent="0.25">
      <c r="A13" s="19" t="s">
        <v>22</v>
      </c>
      <c r="B13" s="20" t="s">
        <v>21</v>
      </c>
      <c r="C13">
        <v>93.036410349570502</v>
      </c>
      <c r="D13">
        <v>92.787927807910691</v>
      </c>
      <c r="E13">
        <v>91.269318938745144</v>
      </c>
      <c r="F13">
        <v>79.919535059415168</v>
      </c>
      <c r="G13">
        <v>66.101425329515536</v>
      </c>
      <c r="H13" s="10" cm="1">
        <f t="array" ref="H13">-SUMPRODUCT((D1:F1-C1:E1)*(C13:E13+D13:F13)/2)</f>
        <v>80.162543757587301</v>
      </c>
      <c r="I13" s="10" cm="1">
        <f t="array" ref="I13">-SUMPRODUCT((D1:G1-C1:F1)*(C13:F13+D13:G13)/2)</f>
        <v>84.725698769741385</v>
      </c>
      <c r="J13" s="4" t="str">
        <f>"    "&amp;_xlfn.TEXTJOIN(", ",TRUE,C13:G13)&amp;","</f>
        <v xml:space="preserve">    93.0364103495705, 92.7879278079107, 91.2693189387451, 79.9195350594152, 66.1014253295155,</v>
      </c>
      <c r="K13" s="23" t="s">
        <v>11</v>
      </c>
      <c r="L13" s="24"/>
      <c r="M13" s="11"/>
      <c r="N13" s="12"/>
      <c r="O13" s="12"/>
      <c r="P13" s="12"/>
      <c r="Q13" s="12"/>
      <c r="R13" s="4" t="str">
        <f>"    "&amp;_xlfn.TEXTJOIN(", ",TRUE,M13:Q13)&amp;","</f>
        <v xml:space="preserve">    ,</v>
      </c>
    </row>
    <row r="14" spans="1:18" x14ac:dyDescent="0.2">
      <c r="A14" s="9"/>
      <c r="B14" s="9"/>
      <c r="C14" s="9"/>
      <c r="D14" s="9"/>
      <c r="E14" s="9"/>
      <c r="F14" s="9"/>
      <c r="G14" s="9"/>
      <c r="H14" s="9"/>
      <c r="I14" s="9"/>
      <c r="K14" s="9"/>
      <c r="L14" s="9"/>
      <c r="M14" s="9"/>
      <c r="N14" s="9"/>
      <c r="O14" s="9"/>
      <c r="P14" s="9"/>
      <c r="Q14" s="9"/>
    </row>
    <row r="15" spans="1:18" ht="15" x14ac:dyDescent="0.2">
      <c r="J15" s="3"/>
      <c r="K15" s="3"/>
      <c r="L15" s="3"/>
      <c r="M15" s="3"/>
      <c r="N15" s="3"/>
      <c r="O15" s="3"/>
      <c r="P15" s="3"/>
      <c r="Q15" s="3"/>
    </row>
    <row r="16" spans="1:18" ht="15" x14ac:dyDescent="0.2">
      <c r="J16" s="3"/>
      <c r="K16" s="3"/>
      <c r="L16" s="3"/>
      <c r="M16" s="3"/>
      <c r="N16" s="3"/>
      <c r="O16" s="3"/>
      <c r="P16" s="3"/>
      <c r="Q16" s="3"/>
    </row>
    <row r="17" spans="8:17" ht="15" x14ac:dyDescent="0.2"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8:17" ht="15" x14ac:dyDescent="0.2"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8:17" ht="15" x14ac:dyDescent="0.2"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8:17" ht="15" x14ac:dyDescent="0.2">
      <c r="H20" s="3"/>
      <c r="I20" s="3"/>
      <c r="J20" s="3"/>
      <c r="K20" s="3"/>
      <c r="L20" s="3"/>
      <c r="M20" s="3"/>
      <c r="N20" s="3"/>
      <c r="O20" s="3"/>
      <c r="P20" s="3"/>
      <c r="Q20" s="3"/>
    </row>
  </sheetData>
  <mergeCells count="16">
    <mergeCell ref="A2:B2"/>
    <mergeCell ref="K2:L2"/>
    <mergeCell ref="A3:B3"/>
    <mergeCell ref="K3:L3"/>
    <mergeCell ref="A11:B11"/>
    <mergeCell ref="K11:L11"/>
    <mergeCell ref="K12:L12"/>
    <mergeCell ref="K13:L13"/>
    <mergeCell ref="A4:G4"/>
    <mergeCell ref="K4:Q4"/>
    <mergeCell ref="A9:G9"/>
    <mergeCell ref="K9:Q9"/>
    <mergeCell ref="A10:B10"/>
    <mergeCell ref="K10:L10"/>
    <mergeCell ref="A5:A8"/>
    <mergeCell ref="K5:K8"/>
  </mergeCells>
  <phoneticPr fontId="1" type="noConversion"/>
  <conditionalFormatting sqref="A5:A8">
    <cfRule type="colorScale" priority="15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10:A11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10:B10 A11"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10:B11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12:B13">
    <cfRule type="colorScale" priority="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5:B8">
    <cfRule type="colorScale" priority="1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:G3 C5:G8 C10:G13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:G3 H2:I13">
    <cfRule type="colorScale" priority="37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:G3">
    <cfRule type="colorScale" priority="33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3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3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3:G3 H3:I4">
    <cfRule type="colorScale" priority="340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4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4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4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4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4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5:G5 C7:G7">
    <cfRule type="colorScale" priority="31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1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5:G5 C7:G8 C2:G3 C10:G13">
    <cfRule type="colorScale" priority="36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8:G8">
    <cfRule type="colorScale" priority="31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2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0:G12">
    <cfRule type="colorScale" priority="32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2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6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2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0:G13 C5:G5 C7:G8 C2:G3">
    <cfRule type="colorScale" priority="37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0:G13">
    <cfRule type="colorScale" priority="37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H2:H3 H5:H8 H10:H13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H2:H13">
    <cfRule type="colorScale" priority="37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2:I13">
    <cfRule type="colorScale" priority="37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5:I8 I2:I3 I10:I13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5:K8">
    <cfRule type="colorScale" priority="1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L5:L8">
    <cfRule type="colorScale" priority="10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20260531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Yuzeng Xu</cp:lastModifiedBy>
  <dcterms:created xsi:type="dcterms:W3CDTF">2015-06-05T18:17:20Z</dcterms:created>
  <dcterms:modified xsi:type="dcterms:W3CDTF">2026-05-30T19:52:29Z</dcterms:modified>
</cp:coreProperties>
</file>