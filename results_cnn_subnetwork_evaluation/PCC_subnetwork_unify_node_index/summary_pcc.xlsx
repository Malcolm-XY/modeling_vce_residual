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4999AFA4-7EE9-4A60-B026-2A0E7DE401EE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pcc_unified_nodes_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3" l="1"/>
  <c r="I17" i="13" a="1"/>
  <c r="I17" i="13" s="1"/>
  <c r="J16" i="13"/>
  <c r="I16" i="13" a="1"/>
  <c r="I16" i="13" s="1"/>
  <c r="J15" i="13"/>
  <c r="I15" i="13" a="1"/>
  <c r="I15" i="13" s="1"/>
  <c r="J14" i="13"/>
  <c r="I14" i="13" a="1"/>
  <c r="I14" i="13" s="1"/>
  <c r="J12" i="13"/>
  <c r="I12" i="13" a="1"/>
  <c r="I12" i="13" s="1"/>
  <c r="J11" i="13"/>
  <c r="I11" i="13" a="1"/>
  <c r="I11" i="13" s="1"/>
  <c r="J10" i="13"/>
  <c r="I10" i="13" a="1"/>
  <c r="I10" i="13" s="1"/>
  <c r="J9" i="13"/>
  <c r="I9" i="13" a="1"/>
  <c r="I9" i="13" s="1"/>
  <c r="J6" i="13"/>
  <c r="I6" i="13" a="1"/>
  <c r="I6" i="13" s="1"/>
  <c r="J5" i="13"/>
  <c r="I5" i="13" a="1"/>
  <c r="I5" i="13" s="1"/>
  <c r="J4" i="13"/>
  <c r="I4" i="13" a="1"/>
  <c r="I4" i="13" s="1"/>
  <c r="J3" i="13"/>
  <c r="I3" i="13" a="1"/>
  <c r="I3" i="13" s="1"/>
  <c r="J2" i="13"/>
  <c r="I2" i="13" a="1"/>
  <c r="I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<sst xmlns="http://schemas.openxmlformats.org/spreadsheetml/2006/main" count="85" uniqueCount="20">
  <si>
    <t>Residual Model</t>
    <phoneticPr fontId="1" type="noConversion"/>
  </si>
  <si>
    <t>Gaussian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</si>
  <si>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</si>
  <si>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</si>
  <si>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</si>
  <si>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</si>
  <si>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</si>
  <si>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</si>
  <si>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</si>
  <si>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</si>
  <si>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</si>
  <si>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Accuracy</t>
    <phoneticPr fontId="1" type="noConversion"/>
  </si>
  <si>
    <t>NNR</t>
    <phoneticPr fontId="1" type="noConversion"/>
  </si>
  <si>
    <t>Original FN</t>
    <phoneticPr fontId="1" type="noConversion"/>
  </si>
  <si>
    <t>Generalized Surface Laplacian</t>
  </si>
  <si>
    <t>Graph Laplacian Highpass</t>
  </si>
  <si>
    <t>Accuracy_Std</t>
    <phoneticPr fontId="1" type="noConversion"/>
  </si>
  <si>
    <t>F1 Score</t>
    <phoneticPr fontId="1" type="noConversion"/>
  </si>
  <si>
    <t>NRR</t>
    <phoneticPr fontId="1" type="noConversion"/>
  </si>
  <si>
    <t>F1 Score_Std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</si>
</sst>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5" xfId="0" applyFont="1" applyFill="1" applyBorder="1"/>
    <xf numFmtId="0" fontId="0" fillId="3" borderId="0" xfId="0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8" xfId="0" applyFill="1" applyBorder="1"/>
    <xf numFmtId="0" fontId="4" fillId="2" borderId="9" xfId="0" applyFont="1" applyFill="1" applyBorder="1"/>
    <xf numFmtId="0" fontId="4" fillId="2" borderId="11" xfId="0" applyFont="1" applyFill="1" applyBorder="1"/>
    <xf numFmtId="0" fontId="4" fillId="2" borderId="10" xfId="0" applyFont="1" applyFill="1" applyBorder="1"/>
    <xf numFmtId="0" fontId="4" fillId="3" borderId="9" xfId="0" applyFont="1" applyFill="1" applyBorder="1"/>
    <xf numFmtId="0" fontId="4" fillId="3" borderId="11" xfId="0" applyFont="1" applyFill="1" applyBorder="1"/>
    <xf numFmtId="0" fontId="4" fillId="3" borderId="10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D05C-C9F6-41EF-917C-5C1E45178F3C}">
  <dimension ref="A1:R42"/>
  <sheetViews>
    <sheetView tabSelected="1" zoomScaleNormal="100" workbookViewId="0"/>
  </sheetViews>
  <sheetFormatPr defaultRowHeight="14.25" x14ac:dyDescent="0.2"/>
  <cols>
    <col min="1" max="1" width="18.75" style="1" customWidth="1"/>
    <col min="2" max="2" width="15" style="1" customWidth="1"/>
    <col min="3" max="10" width="9" style="1"/>
    <col min="11" max="11" width="18.75" style="1" customWidth="1"/>
    <col min="12" max="12" width="15" style="1" customWidth="1"/>
    <col min="13" max="16384" width="9" style="1"/>
  </cols>
  <sheetData>
    <row r="1" spans="1:18" ht="15" thickBot="1" x14ac:dyDescent="0.25">
      <c r="A1" s="38" t="s">
        <v>11</v>
      </c>
      <c r="B1" s="35" t="s">
        <v>12</v>
      </c>
      <c r="C1" s="34">
        <v>1</v>
      </c>
      <c r="D1" s="36">
        <v>0.75</v>
      </c>
      <c r="E1" s="36">
        <v>0.5</v>
      </c>
      <c r="F1" s="36">
        <v>0.3</v>
      </c>
      <c r="G1" s="36">
        <v>0.2</v>
      </c>
      <c r="H1" s="35">
        <v>0.1</v>
      </c>
      <c r="I1" s="39" t="s">
        <v>6</v>
      </c>
      <c r="J1" s="40"/>
      <c r="K1" s="38" t="s">
        <v>16</v>
      </c>
      <c r="L1" s="35" t="s">
        <v>12</v>
      </c>
      <c r="M1" s="34">
        <v>1</v>
      </c>
      <c r="N1" s="36">
        <v>0.75</v>
      </c>
      <c r="O1" s="36">
        <v>0.5</v>
      </c>
      <c r="P1" s="36">
        <v>0.3</v>
      </c>
      <c r="Q1" s="36">
        <v>0.2</v>
      </c>
      <c r="R1" s="35">
        <v>0.1</v>
      </c>
    </row>
    <row r="2" spans="1:18" ht="15" thickBot="1" x14ac:dyDescent="0.25">
      <c r="A2" s="73" t="s">
        <v>13</v>
      </c>
      <c r="B2" s="74"/>
      <c r="C2" s="5">
        <v>93.101364775358491</v>
      </c>
      <c r="D2" s="6">
        <v>91.326663725464783</v>
      </c>
      <c r="E2" s="6">
        <v>89.722561037148537</v>
      </c>
      <c r="F2" s="6">
        <v>83.857204647099024</v>
      </c>
      <c r="G2" s="6">
        <v>76.242949045118635</v>
      </c>
      <c r="H2" s="7">
        <v>60.40277741733636</v>
      </c>
      <c r="I2" s="3" cm="1">
        <f t="array" ref="I2">-SUMPRODUCT((D1:H1-C1:G1)*(C2:G2+D2:H2)/2)</f>
        <v>77.879927234087958</v>
      </c>
      <c r="J2" s="4" t="str">
        <f>"    "&amp;_xlfn.TEXTJOIN(", ",TRUE,C2:H2)&amp;","</f>
        <v xml:space="preserve">    93.1013647753585, 91.3266637254648, 89.7225610371485, 83.857204647099, 76.2429490451186, 60.4027774173364,</v>
      </c>
      <c r="K2" s="73" t="s">
        <v>13</v>
      </c>
      <c r="L2" s="74"/>
      <c r="M2" s="4">
        <v>3.4649270444699574</v>
      </c>
      <c r="N2" s="4">
        <v>4.4611797621615326</v>
      </c>
      <c r="O2" s="4">
        <v>4.7712065248821434</v>
      </c>
      <c r="P2" s="4">
        <v>5.3965689103010375</v>
      </c>
      <c r="Q2" s="4">
        <v>7.9323757260741923</v>
      </c>
      <c r="R2" s="8">
        <v>9.9900413492801565</v>
      </c>
    </row>
    <row r="3" spans="1:18" ht="15" thickBot="1" x14ac:dyDescent="0.25">
      <c r="A3" s="73" t="s">
        <v>7</v>
      </c>
      <c r="B3" s="75"/>
      <c r="C3" s="67">
        <v>90.49195927300407</v>
      </c>
      <c r="D3" s="68">
        <v>89.72905186607727</v>
      </c>
      <c r="E3" s="68">
        <v>89.068596325804435</v>
      </c>
      <c r="F3" s="68">
        <v>87.12391399002874</v>
      </c>
      <c r="G3" s="68">
        <v>81.411975882144304</v>
      </c>
      <c r="H3" s="69">
        <v>66.4606585408755</v>
      </c>
      <c r="I3" s="3" cm="1">
        <f t="array" ref="I3">-SUMPRODUCT((D1:H1-C1:G1)*(C3:G3+D3:H3)/2)</f>
        <v>78.317009662713346</v>
      </c>
      <c r="J3" s="4" t="str">
        <f t="shared" ref="J3:J6" si="0">"    "&amp;_xlfn.TEXTJOIN(", ",TRUE,C3:H3)&amp;","</f>
        <v xml:space="preserve">    90.4919592730041, 89.7290518660773, 89.0685963258044, 87.1239139900287, 81.4119758821443, 66.4606585408755,</v>
      </c>
      <c r="K3" s="73" t="s">
        <v>7</v>
      </c>
      <c r="L3" s="75"/>
      <c r="M3" s="67">
        <v>5.7770221254972451</v>
      </c>
      <c r="N3" s="68">
        <v>5.611567288786433</v>
      </c>
      <c r="O3" s="68">
        <v>5.7836722737844344</v>
      </c>
      <c r="P3" s="68">
        <v>7.7636306370151171</v>
      </c>
      <c r="Q3" s="68">
        <v>9.3115683068530881</v>
      </c>
      <c r="R3" s="69">
        <v>11.79812673302288</v>
      </c>
    </row>
    <row r="4" spans="1:18" ht="15" thickBot="1" x14ac:dyDescent="0.25">
      <c r="A4" s="73" t="s">
        <v>8</v>
      </c>
      <c r="B4" s="75"/>
      <c r="C4" s="67">
        <v>86.641490554993268</v>
      </c>
      <c r="D4" s="68">
        <v>85.586507380398331</v>
      </c>
      <c r="E4" s="68">
        <v>85.70598361577521</v>
      </c>
      <c r="F4" s="68">
        <v>84.885477671375469</v>
      </c>
      <c r="G4" s="68">
        <v>81.460476878404364</v>
      </c>
      <c r="H4" s="69">
        <v>74.070407183453142</v>
      </c>
      <c r="I4" s="3" cm="1">
        <f t="array" ref="I4">-SUMPRODUCT((D1:H1-C1:G1)*(C4:G4+D4:H4)/2)</f>
        <v>76.093049175742578</v>
      </c>
      <c r="J4" s="4" t="str">
        <f t="shared" si="0"/>
        <v xml:space="preserve">    86.6414905549933, 85.5865073803983, 85.7059836157752, 84.8854776713755, 81.4604768784044, 74.0704071834531,</v>
      </c>
      <c r="K4" s="73" t="s">
        <v>8</v>
      </c>
      <c r="L4" s="75"/>
      <c r="M4" s="67">
        <v>5.1747435526724521</v>
      </c>
      <c r="N4" s="68">
        <v>7.4329213274229744</v>
      </c>
      <c r="O4" s="68">
        <v>7.4944316243590112</v>
      </c>
      <c r="P4" s="68">
        <v>7.0327104061737051</v>
      </c>
      <c r="Q4" s="68">
        <v>6.5004949655766886</v>
      </c>
      <c r="R4" s="69">
        <v>7.1873554450341359</v>
      </c>
    </row>
    <row r="5" spans="1:18" ht="15" thickBot="1" x14ac:dyDescent="0.25">
      <c r="A5" s="37" t="s">
        <v>14</v>
      </c>
      <c r="B5" s="34" t="s">
        <v>5</v>
      </c>
      <c r="C5" s="9">
        <v>91.713103054524666</v>
      </c>
      <c r="D5" s="10">
        <v>90.672975833124241</v>
      </c>
      <c r="E5" s="10">
        <v>89.819805246296809</v>
      </c>
      <c r="F5" s="10">
        <v>83.182608269391039</v>
      </c>
      <c r="G5" s="10">
        <v>75.457391499926459</v>
      </c>
      <c r="H5" s="11">
        <v>65.17558110364277</v>
      </c>
      <c r="I5" s="3" cm="1">
        <f t="array" ref="I5">-SUMPRODUCT((D1:H1-C1:G1)*(C5:G5+D5:H5)/2)</f>
        <v>77.623747466096873</v>
      </c>
      <c r="J5" s="4" t="str">
        <f t="shared" si="0"/>
        <v xml:space="preserve">    91.7131030545247, 90.6729758331242, 89.8198052462968, 83.182608269391, 75.4573914999265, 65.1755811036428,</v>
      </c>
      <c r="K5" s="37" t="s">
        <v>14</v>
      </c>
      <c r="L5" s="34" t="s">
        <v>5</v>
      </c>
      <c r="M5" s="9">
        <v>4.7957635258948663</v>
      </c>
      <c r="N5" s="10">
        <v>5.1680048589653982</v>
      </c>
      <c r="O5" s="10">
        <v>4.6440499580585062</v>
      </c>
      <c r="P5" s="10">
        <v>6.5890219979008053</v>
      </c>
      <c r="Q5" s="10">
        <v>8.9620661065347029</v>
      </c>
      <c r="R5" s="11">
        <v>10.321949630760949</v>
      </c>
    </row>
    <row r="6" spans="1:18" ht="15" thickBot="1" x14ac:dyDescent="0.25">
      <c r="A6" s="37" t="s">
        <v>15</v>
      </c>
      <c r="B6" s="38" t="s">
        <v>5</v>
      </c>
      <c r="C6" s="9">
        <v>93.521192513199381</v>
      </c>
      <c r="D6" s="10">
        <v>92.410121771526278</v>
      </c>
      <c r="E6" s="10">
        <v>91.979466373699907</v>
      </c>
      <c r="F6" s="10">
        <v>88.02669573266202</v>
      </c>
      <c r="G6" s="10">
        <v>82.352771217744092</v>
      </c>
      <c r="H6" s="11">
        <v>69.581069040389622</v>
      </c>
      <c r="I6" s="3" cm="1">
        <f t="array" ref="I6">-SUMPRODUCT((D1:H1-C1:G1)*(C6:G6+D6:H6)/2)</f>
        <v>80.406394374807164</v>
      </c>
      <c r="J6" s="4" t="str">
        <f t="shared" si="0"/>
        <v xml:space="preserve">    93.5211925131994, 92.4101217715263, 91.9794663736999, 88.026695732662, 82.3527712177441, 69.5810690403896,</v>
      </c>
      <c r="K6" s="37" t="s">
        <v>15</v>
      </c>
      <c r="L6" s="34" t="s">
        <v>5</v>
      </c>
      <c r="M6" s="9">
        <v>3.5588734952998089</v>
      </c>
      <c r="N6" s="10">
        <v>4.1287811052179082</v>
      </c>
      <c r="O6" s="10">
        <v>4.2931089698242308</v>
      </c>
      <c r="P6" s="10">
        <v>4.7934232469360198</v>
      </c>
      <c r="Q6" s="10">
        <v>6.672348326847497</v>
      </c>
      <c r="R6" s="11">
        <v>9.4189027677485289</v>
      </c>
    </row>
    <row r="7" spans="1:18" ht="15" thickBot="1" x14ac:dyDescent="0.25">
      <c r="A7" s="2"/>
      <c r="B7" s="6"/>
      <c r="C7" s="4"/>
      <c r="D7" s="4"/>
      <c r="E7" s="4"/>
      <c r="F7" s="4"/>
      <c r="G7" s="4"/>
      <c r="H7" s="8"/>
      <c r="I7" s="3"/>
      <c r="J7" s="4"/>
      <c r="K7" s="2"/>
      <c r="L7" s="6"/>
      <c r="M7" s="4"/>
      <c r="N7" s="4"/>
      <c r="O7" s="4"/>
      <c r="P7" s="4"/>
      <c r="Q7" s="4"/>
      <c r="R7" s="8"/>
    </row>
    <row r="8" spans="1:18" ht="30" customHeight="1" thickBot="1" x14ac:dyDescent="0.25">
      <c r="A8" s="76" t="s">
        <v>10</v>
      </c>
      <c r="B8" s="77"/>
      <c r="C8" s="77"/>
      <c r="D8" s="77"/>
      <c r="E8" s="77"/>
      <c r="F8" s="77"/>
      <c r="G8" s="77"/>
      <c r="H8" s="78"/>
      <c r="I8" s="3"/>
      <c r="J8" s="4"/>
      <c r="K8" s="76" t="s">
        <v>10</v>
      </c>
      <c r="L8" s="77"/>
      <c r="M8" s="77"/>
      <c r="N8" s="77"/>
      <c r="O8" s="77"/>
      <c r="P8" s="77"/>
      <c r="Q8" s="77"/>
      <c r="R8" s="78"/>
    </row>
    <row r="9" spans="1:18" x14ac:dyDescent="0.2">
      <c r="A9" s="79" t="s">
        <v>0</v>
      </c>
      <c r="B9" s="41" t="s">
        <v>1</v>
      </c>
      <c r="C9" s="53">
        <v>93.125883441898296</v>
      </c>
      <c r="D9" s="54">
        <v>91.98146754441359</v>
      </c>
      <c r="E9" s="54">
        <v>90.453807270535805</v>
      </c>
      <c r="F9" s="54">
        <v>86.002929667788337</v>
      </c>
      <c r="G9" s="54">
        <v>76.687387722500489</v>
      </c>
      <c r="H9" s="55">
        <v>60.153458651603088</v>
      </c>
      <c r="I9" s="3" cm="1">
        <f t="array" ref="I9">-SUMPRODUCT((D1:H1-C1:G1)*(C9:G9+D9:H9)/2)</f>
        <v>78.565060107209689</v>
      </c>
      <c r="J9" s="4" t="str">
        <f t="shared" ref="J9:J12" si="1">"    "&amp;_xlfn.TEXTJOIN(", ",TRUE,C9:H9)&amp;","</f>
        <v xml:space="preserve">    93.1258834418983, 91.9814675444136, 90.4538072705358, 86.0029296677883, 76.6873877225005, 60.1534586516031,</v>
      </c>
      <c r="K9" s="79" t="s">
        <v>0</v>
      </c>
      <c r="L9" s="41" t="s">
        <v>1</v>
      </c>
      <c r="M9" s="53">
        <v>3.7708651055649569</v>
      </c>
      <c r="N9" s="54">
        <v>4.499311242292201</v>
      </c>
      <c r="O9" s="54">
        <v>4.7730322470667508</v>
      </c>
      <c r="P9" s="54">
        <v>4.8784904500465149</v>
      </c>
      <c r="Q9" s="54">
        <v>7.9224445763020954</v>
      </c>
      <c r="R9" s="55">
        <v>10.75889407124151</v>
      </c>
    </row>
    <row r="10" spans="1:18" x14ac:dyDescent="0.2">
      <c r="A10" s="80"/>
      <c r="B10" s="42" t="s">
        <v>2</v>
      </c>
      <c r="C10" s="30">
        <v>93.121996441722402</v>
      </c>
      <c r="D10" s="52">
        <v>91.415245806624625</v>
      </c>
      <c r="E10" s="52">
        <v>90.093074622906173</v>
      </c>
      <c r="F10" s="52">
        <v>84.473622897545241</v>
      </c>
      <c r="G10" s="52">
        <v>74.889765482400364</v>
      </c>
      <c r="H10" s="31">
        <v>59.019034190030489</v>
      </c>
      <c r="I10" s="3" cm="1">
        <f t="array" ref="I10">-SUMPRODUCT((D1:H1-C1:G1)*(C10:G10+D10:H10)/2)</f>
        <v>77.875974489398686</v>
      </c>
      <c r="J10" s="4" t="str">
        <f t="shared" si="1"/>
        <v xml:space="preserve">    93.1219964417224, 91.4152458066246, 90.0930746229062, 84.4736228975452, 74.8897654824004, 59.0190341900305,</v>
      </c>
      <c r="K10" s="80"/>
      <c r="L10" s="42" t="s">
        <v>2</v>
      </c>
      <c r="M10" s="30">
        <v>3.8726827669359221</v>
      </c>
      <c r="N10" s="52">
        <v>4.4892526854027643</v>
      </c>
      <c r="O10" s="52">
        <v>4.5890016659201427</v>
      </c>
      <c r="P10" s="52">
        <v>5.678054163582039</v>
      </c>
      <c r="Q10" s="52">
        <v>8.2515962171332085</v>
      </c>
      <c r="R10" s="31">
        <v>10.88942016670498</v>
      </c>
    </row>
    <row r="11" spans="1:18" x14ac:dyDescent="0.2">
      <c r="A11" s="80"/>
      <c r="B11" s="42" t="s">
        <v>3</v>
      </c>
      <c r="C11" s="30">
        <v>93.614581441015915</v>
      </c>
      <c r="D11" s="52">
        <v>92.498663483248123</v>
      </c>
      <c r="E11" s="52">
        <v>90.846371220050926</v>
      </c>
      <c r="F11" s="52">
        <v>86.477137922185037</v>
      </c>
      <c r="G11" s="52">
        <v>78.561051566190017</v>
      </c>
      <c r="H11" s="31">
        <v>61.240622035369391</v>
      </c>
      <c r="I11" s="3" cm="1">
        <f t="array" ref="I11">-SUMPRODUCT((D1:H1-C1:G1)*(C11:G11+D11:H11)/2)</f>
        <v>79.156629022165717</v>
      </c>
      <c r="J11" s="4" t="str">
        <f t="shared" si="1"/>
        <v xml:space="preserve">    93.6145814410159, 92.4986634832481, 90.8463712200509, 86.477137922185, 78.56105156619, 61.2406220353694,</v>
      </c>
      <c r="K11" s="80"/>
      <c r="L11" s="42" t="s">
        <v>3</v>
      </c>
      <c r="M11" s="30">
        <v>3.5928974910356541</v>
      </c>
      <c r="N11" s="52">
        <v>4.0043122919256424</v>
      </c>
      <c r="O11" s="52">
        <v>4.8224665316714344</v>
      </c>
      <c r="P11" s="52">
        <v>4.2363109996014758</v>
      </c>
      <c r="Q11" s="52">
        <v>7.3101830748741543</v>
      </c>
      <c r="R11" s="31">
        <v>10.60706115745745</v>
      </c>
    </row>
    <row r="12" spans="1:18" ht="15" thickBot="1" x14ac:dyDescent="0.25">
      <c r="A12" s="81"/>
      <c r="B12" s="43" t="s">
        <v>4</v>
      </c>
      <c r="C12" s="59">
        <v>93.424819130499984</v>
      </c>
      <c r="D12" s="60">
        <v>91.907778902354977</v>
      </c>
      <c r="E12" s="60">
        <v>90.31516996975175</v>
      </c>
      <c r="F12" s="60">
        <v>85.140600985590979</v>
      </c>
      <c r="G12" s="60">
        <v>75.731756618425194</v>
      </c>
      <c r="H12" s="66">
        <v>59.509205673636167</v>
      </c>
      <c r="I12" s="3" cm="1">
        <f t="array" ref="I12">-SUMPRODUCT((D1:H1-C1:G1)*(C12:G12+D12:H12)/2)</f>
        <v>78.295686453458359</v>
      </c>
      <c r="J12" s="4" t="str">
        <f t="shared" si="1"/>
        <v xml:space="preserve">    93.4248191305, 91.907778902355, 90.3151699697518, 85.140600985591, 75.7317566184252, 59.5092056736362,</v>
      </c>
      <c r="K12" s="81"/>
      <c r="L12" s="43" t="s">
        <v>4</v>
      </c>
      <c r="M12" s="59">
        <v>3.873130046724603</v>
      </c>
      <c r="N12" s="60">
        <v>4.5171508369772368</v>
      </c>
      <c r="O12" s="60">
        <v>4.5948595835562287</v>
      </c>
      <c r="P12" s="60">
        <v>5.3187076271845264</v>
      </c>
      <c r="Q12" s="60">
        <v>8.7256269223702496</v>
      </c>
      <c r="R12" s="66">
        <v>10.765422768083081</v>
      </c>
    </row>
    <row r="13" spans="1:18" ht="30" customHeight="1" thickBot="1" x14ac:dyDescent="0.25">
      <c r="A13" s="82" t="s">
        <v>9</v>
      </c>
      <c r="B13" s="83"/>
      <c r="C13" s="83"/>
      <c r="D13" s="83"/>
      <c r="E13" s="83"/>
      <c r="F13" s="83"/>
      <c r="G13" s="83"/>
      <c r="H13" s="84"/>
      <c r="I13" s="3"/>
      <c r="J13" s="4"/>
      <c r="K13" s="82" t="s">
        <v>9</v>
      </c>
      <c r="L13" s="83"/>
      <c r="M13" s="83"/>
      <c r="N13" s="83"/>
      <c r="O13" s="83"/>
      <c r="P13" s="83"/>
      <c r="Q13" s="83"/>
      <c r="R13" s="84"/>
    </row>
    <row r="14" spans="1:18" x14ac:dyDescent="0.2">
      <c r="A14" s="79" t="s">
        <v>0</v>
      </c>
      <c r="B14" s="41" t="s">
        <v>1</v>
      </c>
      <c r="C14" s="53">
        <v>92.57185904145652</v>
      </c>
      <c r="D14" s="54">
        <v>91.459441690672065</v>
      </c>
      <c r="E14" s="54">
        <v>90.084960365862443</v>
      </c>
      <c r="F14" s="54">
        <v>81.689740684031278</v>
      </c>
      <c r="G14" s="54">
        <v>70.702664671263022</v>
      </c>
      <c r="H14" s="55">
        <v>56.482616631631757</v>
      </c>
      <c r="I14" s="3" cm="1">
        <f t="array" ref="I14">-SUMPRODUCT((D1:H1-C1:G1)*(C14:G14+D14:H14)/2)</f>
        <v>76.853317286481712</v>
      </c>
      <c r="J14" s="4" t="str">
        <f t="shared" ref="J14:J17" si="2">"    "&amp;_xlfn.TEXTJOIN(", ",TRUE,C14:H14)&amp;","</f>
        <v xml:space="preserve">    92.5718590414565, 91.4594416906721, 90.0849603658624, 81.6897406840313, 70.702664671263, 56.4826166316318,</v>
      </c>
      <c r="K14" s="79" t="s">
        <v>0</v>
      </c>
      <c r="L14" s="41" t="s">
        <v>1</v>
      </c>
      <c r="M14" s="53">
        <v>3.840429564327803</v>
      </c>
      <c r="N14" s="54">
        <v>4.035074157951172</v>
      </c>
      <c r="O14" s="54">
        <v>4.231307518411012</v>
      </c>
      <c r="P14" s="54">
        <v>6.0303071762315854</v>
      </c>
      <c r="Q14" s="54">
        <v>9.3988677025486904</v>
      </c>
      <c r="R14" s="55">
        <v>11.1896577987303</v>
      </c>
    </row>
    <row r="15" spans="1:18" x14ac:dyDescent="0.2">
      <c r="A15" s="80"/>
      <c r="B15" s="42" t="s">
        <v>2</v>
      </c>
      <c r="C15" s="30">
        <v>92.4779453109456</v>
      </c>
      <c r="D15" s="52">
        <v>90.881893441984801</v>
      </c>
      <c r="E15" s="52">
        <v>89.312874678846683</v>
      </c>
      <c r="F15" s="52">
        <v>84.564687699143889</v>
      </c>
      <c r="G15" s="52">
        <v>77.166472028304739</v>
      </c>
      <c r="H15" s="31">
        <v>59.76475575048228</v>
      </c>
      <c r="I15" s="3" cm="1">
        <f t="array" ref="I15">-SUMPRODUCT((D1:H1-C1:G1)*(C15:G15+D15:H15)/2)</f>
        <v>77.765201472331071</v>
      </c>
      <c r="J15" s="4" t="str">
        <f t="shared" si="2"/>
        <v xml:space="preserve">    92.4779453109456, 90.8818934419848, 89.3128746788467, 84.5646876991439, 77.1664720283047, 59.7647557504823,</v>
      </c>
      <c r="K15" s="80"/>
      <c r="L15" s="42" t="s">
        <v>2</v>
      </c>
      <c r="M15" s="30">
        <v>92.028555689211132</v>
      </c>
      <c r="N15" s="52">
        <v>90.40255093402186</v>
      </c>
      <c r="O15" s="52">
        <v>88.746586261757272</v>
      </c>
      <c r="P15" s="52">
        <v>83.891571957318149</v>
      </c>
      <c r="Q15" s="52">
        <v>76.415320210829023</v>
      </c>
      <c r="R15" s="31">
        <v>58.404457234389007</v>
      </c>
    </row>
    <row r="16" spans="1:18" x14ac:dyDescent="0.2">
      <c r="A16" s="80"/>
      <c r="B16" s="42" t="s">
        <v>3</v>
      </c>
      <c r="C16" s="30">
        <v>92.655836123149854</v>
      </c>
      <c r="D16" s="52">
        <v>91.217919993540875</v>
      </c>
      <c r="E16" s="52">
        <v>89.088881968413801</v>
      </c>
      <c r="F16" s="52">
        <v>83.246109395410016</v>
      </c>
      <c r="G16" s="52">
        <v>69.53361188245573</v>
      </c>
      <c r="H16" s="31">
        <v>56.325622770669867</v>
      </c>
      <c r="I16" s="3" cm="1">
        <f t="array" ref="I16">-SUMPRODUCT((D1:H1-C1:G1)*(C16:G16+D16:H16)/2)</f>
        <v>76.688016692762616</v>
      </c>
      <c r="J16" s="4" t="str">
        <f t="shared" si="2"/>
        <v xml:space="preserve">    92.6558361231499, 91.2179199935409, 89.0888819684138, 83.24610939541, 69.5336118824557, 56.3256227706699,</v>
      </c>
      <c r="K16" s="80"/>
      <c r="L16" s="42" t="s">
        <v>3</v>
      </c>
      <c r="M16" s="30">
        <v>4.1113087025891382</v>
      </c>
      <c r="N16" s="52">
        <v>4.1335014594106507</v>
      </c>
      <c r="O16" s="52">
        <v>5.0636974920210092</v>
      </c>
      <c r="P16" s="52">
        <v>5.3170163314508434</v>
      </c>
      <c r="Q16" s="52">
        <v>9.6043685176238931</v>
      </c>
      <c r="R16" s="31">
        <v>11.32911200001509</v>
      </c>
    </row>
    <row r="17" spans="1:18" ht="15" thickBot="1" x14ac:dyDescent="0.25">
      <c r="A17" s="81"/>
      <c r="B17" s="43" t="s">
        <v>4</v>
      </c>
      <c r="C17" s="59">
        <v>92.509468074983332</v>
      </c>
      <c r="D17" s="60">
        <v>91.062068010968943</v>
      </c>
      <c r="E17" s="60">
        <v>89.305449585780721</v>
      </c>
      <c r="F17" s="60">
        <v>82.162873381257626</v>
      </c>
      <c r="G17" s="60">
        <v>69.430127711600733</v>
      </c>
      <c r="H17" s="66">
        <v>56.409380703985327</v>
      </c>
      <c r="I17" s="3" cm="1">
        <f t="array" ref="I17">-SUMPRODUCT((D1:H1-C1:G1)*(C17:G17+D17:H17)/2)</f>
        <v>76.510839482463808</v>
      </c>
      <c r="J17" s="4" t="str">
        <f t="shared" si="2"/>
        <v xml:space="preserve">    92.5094680749833, 91.0620680109689, 89.3054495857807, 82.1628733812576, 69.4301277116007, 56.4093807039853,</v>
      </c>
      <c r="K17" s="81"/>
      <c r="L17" s="43" t="s">
        <v>4</v>
      </c>
      <c r="M17" s="12">
        <v>3.743100194812182</v>
      </c>
      <c r="N17" s="13">
        <v>5.5315265817238606</v>
      </c>
      <c r="O17" s="13">
        <v>5.0383366687905848</v>
      </c>
      <c r="P17" s="13">
        <v>6.4829160901503169</v>
      </c>
      <c r="Q17" s="13">
        <v>9.6349444909891542</v>
      </c>
      <c r="R17" s="14">
        <v>11.41129995025652</v>
      </c>
    </row>
    <row r="18" spans="1:18" ht="15" thickBot="1" x14ac:dyDescent="0.25"/>
    <row r="19" spans="1:18" ht="15" thickBot="1" x14ac:dyDescent="0.25">
      <c r="A19" s="49" t="s">
        <v>17</v>
      </c>
      <c r="B19" s="45" t="s">
        <v>18</v>
      </c>
      <c r="C19" s="47">
        <v>1</v>
      </c>
      <c r="D19" s="47">
        <v>0.75</v>
      </c>
      <c r="E19" s="47">
        <v>0.5</v>
      </c>
      <c r="F19" s="47">
        <v>0.3</v>
      </c>
      <c r="G19" s="47">
        <v>0.2</v>
      </c>
      <c r="H19" s="45">
        <v>0.1</v>
      </c>
      <c r="I19" s="15"/>
      <c r="J19" s="16"/>
      <c r="K19" s="49" t="s">
        <v>19</v>
      </c>
      <c r="L19" s="45" t="s">
        <v>18</v>
      </c>
      <c r="M19" s="47">
        <v>1</v>
      </c>
      <c r="N19" s="47">
        <v>0.75</v>
      </c>
      <c r="O19" s="47">
        <v>0.5</v>
      </c>
      <c r="P19" s="47">
        <v>0.3</v>
      </c>
      <c r="Q19" s="47">
        <v>0.2</v>
      </c>
      <c r="R19" s="45">
        <v>0.1</v>
      </c>
    </row>
    <row r="20" spans="1:18" ht="15" thickBot="1" x14ac:dyDescent="0.25">
      <c r="A20" s="85" t="s">
        <v>13</v>
      </c>
      <c r="B20" s="86"/>
      <c r="C20" s="21">
        <v>92.567111769713335</v>
      </c>
      <c r="D20" s="21">
        <v>90.835858608343599</v>
      </c>
      <c r="E20" s="21">
        <v>89.217505339533233</v>
      </c>
      <c r="F20" s="21">
        <v>83.237245964288078</v>
      </c>
      <c r="G20" s="21">
        <v>75.380430844191011</v>
      </c>
      <c r="H20" s="22">
        <v>58.994367187597383</v>
      </c>
      <c r="I20" s="16"/>
      <c r="J20" s="16"/>
      <c r="K20" s="85" t="s">
        <v>13</v>
      </c>
      <c r="L20" s="86"/>
      <c r="M20" s="16">
        <v>3.88093621561358</v>
      </c>
      <c r="N20" s="16">
        <v>4.8164746829677396</v>
      </c>
      <c r="O20" s="16">
        <v>5.2250608386616522</v>
      </c>
      <c r="P20" s="16">
        <v>5.6675721086724113</v>
      </c>
      <c r="Q20" s="16">
        <v>8.3263283482936075</v>
      </c>
      <c r="R20" s="19">
        <v>10.49020927094638</v>
      </c>
    </row>
    <row r="21" spans="1:18" ht="15" thickBot="1" x14ac:dyDescent="0.25">
      <c r="A21" s="87" t="s">
        <v>7</v>
      </c>
      <c r="B21" s="88"/>
      <c r="C21" s="70">
        <v>89.873444112859715</v>
      </c>
      <c r="D21" s="71">
        <v>89.031451047380486</v>
      </c>
      <c r="E21" s="71">
        <v>88.414737970332709</v>
      </c>
      <c r="F21" s="71">
        <v>86.336025191916804</v>
      </c>
      <c r="G21" s="71">
        <v>80.512303313302027</v>
      </c>
      <c r="H21" s="72">
        <v>65.085255433035755</v>
      </c>
      <c r="I21" s="20"/>
      <c r="J21" s="16"/>
      <c r="K21" s="87" t="s">
        <v>7</v>
      </c>
      <c r="L21" s="88"/>
      <c r="M21" s="70">
        <v>6.4594903547301907</v>
      </c>
      <c r="N21" s="71">
        <v>6.3172516595124879</v>
      </c>
      <c r="O21" s="71">
        <v>6.3157626039832868</v>
      </c>
      <c r="P21" s="71">
        <v>8.4525249768989781</v>
      </c>
      <c r="Q21" s="71">
        <v>10.109425161959621</v>
      </c>
      <c r="R21" s="72">
        <v>13.088271436407789</v>
      </c>
    </row>
    <row r="22" spans="1:18" ht="15" thickBot="1" x14ac:dyDescent="0.25">
      <c r="A22" s="87" t="s">
        <v>8</v>
      </c>
      <c r="B22" s="88"/>
      <c r="C22" s="70">
        <v>85.8130051563531</v>
      </c>
      <c r="D22" s="71">
        <v>84.669665167065276</v>
      </c>
      <c r="E22" s="71">
        <v>84.716080193391306</v>
      </c>
      <c r="F22" s="71">
        <v>83.933756824415994</v>
      </c>
      <c r="G22" s="71">
        <v>80.363328880090776</v>
      </c>
      <c r="H22" s="72">
        <v>72.820423731902267</v>
      </c>
      <c r="I22" s="20"/>
      <c r="J22" s="16"/>
      <c r="K22" s="87" t="s">
        <v>8</v>
      </c>
      <c r="L22" s="88"/>
      <c r="M22" s="70">
        <v>5.6197882029779374</v>
      </c>
      <c r="N22" s="71">
        <v>8.2300308760888861</v>
      </c>
      <c r="O22" s="71">
        <v>8.5608210103816411</v>
      </c>
      <c r="P22" s="71">
        <v>7.9242654466550047</v>
      </c>
      <c r="Q22" s="71">
        <v>7.2930403592679678</v>
      </c>
      <c r="R22" s="72">
        <v>8.0728828496470424</v>
      </c>
    </row>
    <row r="23" spans="1:18" ht="15" thickBot="1" x14ac:dyDescent="0.25">
      <c r="A23" s="48" t="s">
        <v>14</v>
      </c>
      <c r="B23" s="44" t="s">
        <v>5</v>
      </c>
      <c r="C23" s="23">
        <v>91.306475167285953</v>
      </c>
      <c r="D23" s="17">
        <v>90.258914836136498</v>
      </c>
      <c r="E23" s="17">
        <v>89.281668603165684</v>
      </c>
      <c r="F23" s="17">
        <v>82.385883497728983</v>
      </c>
      <c r="G23" s="17">
        <v>74.251494730858411</v>
      </c>
      <c r="H23" s="18">
        <v>63.330045861583493</v>
      </c>
      <c r="I23" s="16"/>
      <c r="J23" s="16"/>
      <c r="K23" s="48" t="s">
        <v>14</v>
      </c>
      <c r="L23" s="44" t="s">
        <v>5</v>
      </c>
      <c r="M23" s="23">
        <v>5.1256275621335901</v>
      </c>
      <c r="N23" s="17">
        <v>5.4768261459924759</v>
      </c>
      <c r="O23" s="17">
        <v>5.0499314727575264</v>
      </c>
      <c r="P23" s="17">
        <v>7.2219003661998276</v>
      </c>
      <c r="Q23" s="17">
        <v>9.7227037935273426</v>
      </c>
      <c r="R23" s="18">
        <v>10.898188356111071</v>
      </c>
    </row>
    <row r="24" spans="1:18" ht="15" thickBot="1" x14ac:dyDescent="0.25">
      <c r="A24" s="48" t="s">
        <v>15</v>
      </c>
      <c r="B24" s="44" t="s">
        <v>5</v>
      </c>
      <c r="C24" s="23">
        <v>93.087551786046831</v>
      </c>
      <c r="D24" s="17">
        <v>91.991995602428446</v>
      </c>
      <c r="E24" s="17">
        <v>91.57939437523649</v>
      </c>
      <c r="F24" s="17">
        <v>87.576356238237281</v>
      </c>
      <c r="G24" s="17">
        <v>81.49061146610191</v>
      </c>
      <c r="H24" s="18">
        <v>68.494450063636449</v>
      </c>
      <c r="I24" s="16"/>
      <c r="J24" s="16"/>
      <c r="K24" s="48" t="s">
        <v>15</v>
      </c>
      <c r="L24" s="44" t="s">
        <v>5</v>
      </c>
      <c r="M24" s="23">
        <v>3.9317570518184741</v>
      </c>
      <c r="N24" s="17">
        <v>4.5007850677742756</v>
      </c>
      <c r="O24" s="17">
        <v>4.6545643126216154</v>
      </c>
      <c r="P24" s="17">
        <v>5.0320814976420705</v>
      </c>
      <c r="Q24" s="17">
        <v>7.1789969096945017</v>
      </c>
      <c r="R24" s="18">
        <v>9.8640027445241607</v>
      </c>
    </row>
    <row r="25" spans="1:18" ht="15" thickBot="1" x14ac:dyDescent="0.25">
      <c r="A25" s="24"/>
      <c r="B25" s="25"/>
      <c r="C25" s="32"/>
      <c r="D25" s="32"/>
      <c r="E25" s="32"/>
      <c r="F25" s="32"/>
      <c r="G25" s="32"/>
      <c r="H25" s="33"/>
      <c r="I25" s="26"/>
      <c r="J25" s="16"/>
      <c r="K25" s="24"/>
      <c r="L25" s="25"/>
      <c r="M25" s="32"/>
      <c r="N25" s="32"/>
      <c r="O25" s="32"/>
      <c r="P25" s="32"/>
      <c r="Q25" s="32"/>
      <c r="R25" s="33"/>
    </row>
    <row r="26" spans="1:18" ht="15" thickBot="1" x14ac:dyDescent="0.25">
      <c r="A26" s="95" t="s">
        <v>10</v>
      </c>
      <c r="B26" s="96"/>
      <c r="C26" s="96"/>
      <c r="D26" s="96"/>
      <c r="E26" s="96"/>
      <c r="F26" s="96"/>
      <c r="G26" s="96"/>
      <c r="H26" s="97"/>
      <c r="I26" s="15"/>
      <c r="J26" s="16"/>
      <c r="K26" s="95" t="s">
        <v>10</v>
      </c>
      <c r="L26" s="96"/>
      <c r="M26" s="96"/>
      <c r="N26" s="96"/>
      <c r="O26" s="96"/>
      <c r="P26" s="96"/>
      <c r="Q26" s="96"/>
      <c r="R26" s="97"/>
    </row>
    <row r="27" spans="1:18" x14ac:dyDescent="0.2">
      <c r="A27" s="92" t="s">
        <v>0</v>
      </c>
      <c r="B27" s="50" t="s">
        <v>1</v>
      </c>
      <c r="C27" s="56">
        <v>0.92712219311185107</v>
      </c>
      <c r="D27" s="57">
        <v>0.91553271196018782</v>
      </c>
      <c r="E27" s="57">
        <v>0.90003945718083633</v>
      </c>
      <c r="F27" s="57">
        <v>0.85371980445253681</v>
      </c>
      <c r="G27" s="57">
        <v>0.75659267256376173</v>
      </c>
      <c r="H27" s="58">
        <v>0.58453236513786433</v>
      </c>
      <c r="I27" s="16"/>
      <c r="J27" s="16"/>
      <c r="K27" s="92" t="s">
        <v>0</v>
      </c>
      <c r="L27" s="50" t="s">
        <v>1</v>
      </c>
      <c r="M27" s="56">
        <v>4.1405713460228623E-2</v>
      </c>
      <c r="N27" s="57">
        <v>4.8656715549547397E-2</v>
      </c>
      <c r="O27" s="57">
        <v>5.2143939965376113E-2</v>
      </c>
      <c r="P27" s="57">
        <v>5.1984732381641162E-2</v>
      </c>
      <c r="Q27" s="57">
        <v>8.4363603876969617E-2</v>
      </c>
      <c r="R27" s="58">
        <v>0.1121129176048289</v>
      </c>
    </row>
    <row r="28" spans="1:18" x14ac:dyDescent="0.2">
      <c r="A28" s="93"/>
      <c r="B28" s="51" t="s">
        <v>2</v>
      </c>
      <c r="C28" s="61">
        <v>0.92673960685372625</v>
      </c>
      <c r="D28" s="20">
        <v>0.90901566676723988</v>
      </c>
      <c r="E28" s="20">
        <v>0.89507540759230964</v>
      </c>
      <c r="F28" s="20">
        <v>0.83787345522694356</v>
      </c>
      <c r="G28" s="20">
        <v>0.73855299411776509</v>
      </c>
      <c r="H28" s="62">
        <v>0.5744312668444137</v>
      </c>
      <c r="I28" s="16"/>
      <c r="J28" s="16"/>
      <c r="K28" s="93"/>
      <c r="L28" s="51" t="s">
        <v>2</v>
      </c>
      <c r="M28" s="61">
        <v>4.2593815610442558E-2</v>
      </c>
      <c r="N28" s="20">
        <v>4.8639934376921268E-2</v>
      </c>
      <c r="O28" s="20">
        <v>5.0944440930392923E-2</v>
      </c>
      <c r="P28" s="20">
        <v>6.0765557086622769E-2</v>
      </c>
      <c r="Q28" s="20">
        <v>8.6976362796974266E-2</v>
      </c>
      <c r="R28" s="62">
        <v>0.1155953045622124</v>
      </c>
    </row>
    <row r="29" spans="1:18" x14ac:dyDescent="0.2">
      <c r="A29" s="93"/>
      <c r="B29" s="51" t="s">
        <v>3</v>
      </c>
      <c r="C29" s="61">
        <v>0.93197439257364645</v>
      </c>
      <c r="D29" s="20">
        <v>0.92083403063908897</v>
      </c>
      <c r="E29" s="20">
        <v>0.90418971634865053</v>
      </c>
      <c r="F29" s="20">
        <v>0.85777933233303005</v>
      </c>
      <c r="G29" s="20">
        <v>0.77923762533430907</v>
      </c>
      <c r="H29" s="62">
        <v>0.60055241828981376</v>
      </c>
      <c r="I29" s="16"/>
      <c r="J29" s="16"/>
      <c r="K29" s="93"/>
      <c r="L29" s="51" t="s">
        <v>3</v>
      </c>
      <c r="M29" s="61">
        <v>4.0120188931075738E-2</v>
      </c>
      <c r="N29" s="20">
        <v>4.3476447435920197E-2</v>
      </c>
      <c r="O29" s="20">
        <v>5.191365982794055E-2</v>
      </c>
      <c r="P29" s="20">
        <v>4.5060394275093202E-2</v>
      </c>
      <c r="Q29" s="20">
        <v>7.4768468283580747E-2</v>
      </c>
      <c r="R29" s="62">
        <v>0.1105122511333942</v>
      </c>
    </row>
    <row r="30" spans="1:18" ht="15" thickBot="1" x14ac:dyDescent="0.25">
      <c r="A30" s="94"/>
      <c r="B30" s="46" t="s">
        <v>4</v>
      </c>
      <c r="C30" s="63">
        <v>0.93016833721759917</v>
      </c>
      <c r="D30" s="64">
        <v>0.91469178276412877</v>
      </c>
      <c r="E30" s="64">
        <v>0.89816574194555854</v>
      </c>
      <c r="F30" s="64">
        <v>0.84542931481728789</v>
      </c>
      <c r="G30" s="64">
        <v>0.7469799133625814</v>
      </c>
      <c r="H30" s="65">
        <v>0.57863004474716073</v>
      </c>
      <c r="I30" s="16"/>
      <c r="J30" s="16"/>
      <c r="K30" s="94"/>
      <c r="L30" s="46" t="s">
        <v>4</v>
      </c>
      <c r="M30" s="63">
        <v>4.2728057402001841E-2</v>
      </c>
      <c r="N30" s="64">
        <v>4.8959488924002398E-2</v>
      </c>
      <c r="O30" s="64">
        <v>4.9948635068574561E-2</v>
      </c>
      <c r="P30" s="64">
        <v>5.5608972726874352E-2</v>
      </c>
      <c r="Q30" s="64">
        <v>9.0816958652221697E-2</v>
      </c>
      <c r="R30" s="65">
        <v>0.1143139659112713</v>
      </c>
    </row>
    <row r="31" spans="1:18" ht="14.25" customHeight="1" thickBot="1" x14ac:dyDescent="0.25">
      <c r="A31" s="89" t="s">
        <v>9</v>
      </c>
      <c r="B31" s="90"/>
      <c r="C31" s="90"/>
      <c r="D31" s="90"/>
      <c r="E31" s="90"/>
      <c r="F31" s="90"/>
      <c r="G31" s="90"/>
      <c r="H31" s="91"/>
      <c r="I31" s="15"/>
      <c r="J31" s="16"/>
      <c r="K31" s="89" t="s">
        <v>9</v>
      </c>
      <c r="L31" s="90"/>
      <c r="M31" s="90"/>
      <c r="N31" s="90"/>
      <c r="O31" s="90"/>
      <c r="P31" s="90"/>
      <c r="Q31" s="90"/>
      <c r="R31" s="91"/>
    </row>
    <row r="32" spans="1:18" ht="14.25" customHeight="1" x14ac:dyDescent="0.2">
      <c r="A32" s="92" t="s">
        <v>0</v>
      </c>
      <c r="B32" s="50" t="s">
        <v>1</v>
      </c>
      <c r="C32" s="56">
        <v>92.147520939712763</v>
      </c>
      <c r="D32" s="57">
        <v>91.128905565017149</v>
      </c>
      <c r="E32" s="57">
        <v>89.637949442719915</v>
      </c>
      <c r="F32" s="57">
        <v>80.986737782634151</v>
      </c>
      <c r="G32" s="57">
        <v>69.470182727121511</v>
      </c>
      <c r="H32" s="58">
        <v>54.513246212106523</v>
      </c>
      <c r="I32" s="16"/>
      <c r="J32" s="16"/>
      <c r="K32" s="92" t="s">
        <v>0</v>
      </c>
      <c r="L32" s="50" t="s">
        <v>1</v>
      </c>
      <c r="M32" s="56">
        <v>4.1939002401623773</v>
      </c>
      <c r="N32" s="57">
        <v>4.256850875081752</v>
      </c>
      <c r="O32" s="57">
        <v>4.5987280672388424</v>
      </c>
      <c r="P32" s="57">
        <v>6.3730300797691584</v>
      </c>
      <c r="Q32" s="57">
        <v>9.8440044251881229</v>
      </c>
      <c r="R32" s="58">
        <v>11.747468843137609</v>
      </c>
    </row>
    <row r="33" spans="1:18" ht="14.25" customHeight="1" x14ac:dyDescent="0.2">
      <c r="A33" s="93"/>
      <c r="B33" s="51" t="s">
        <v>2</v>
      </c>
      <c r="C33" s="61">
        <v>3.6994027598018411</v>
      </c>
      <c r="D33" s="20">
        <v>4.1138697584700123</v>
      </c>
      <c r="E33" s="20">
        <v>4.1897665113017011</v>
      </c>
      <c r="F33" s="20">
        <v>4.8947323925947641</v>
      </c>
      <c r="G33" s="20">
        <v>7.3836082853921656</v>
      </c>
      <c r="H33" s="62">
        <v>10.590000020692329</v>
      </c>
      <c r="I33" s="16"/>
      <c r="J33" s="16"/>
      <c r="K33" s="93"/>
      <c r="L33" s="51" t="s">
        <v>2</v>
      </c>
      <c r="M33" s="61">
        <v>4.0049185021401614</v>
      </c>
      <c r="N33" s="20">
        <v>4.4300672287552452</v>
      </c>
      <c r="O33" s="20">
        <v>4.5927562723937703</v>
      </c>
      <c r="P33" s="20">
        <v>5.25972974371739</v>
      </c>
      <c r="Q33" s="20">
        <v>7.7694475433497807</v>
      </c>
      <c r="R33" s="62">
        <v>10.87236273571733</v>
      </c>
    </row>
    <row r="34" spans="1:18" ht="14.25" customHeight="1" x14ac:dyDescent="0.2">
      <c r="A34" s="93"/>
      <c r="B34" s="51" t="s">
        <v>3</v>
      </c>
      <c r="C34" s="61">
        <v>92.165839035050681</v>
      </c>
      <c r="D34" s="20">
        <v>90.784388931618651</v>
      </c>
      <c r="E34" s="20">
        <v>88.416715994786898</v>
      </c>
      <c r="F34" s="20">
        <v>82.59720361215949</v>
      </c>
      <c r="G34" s="20">
        <v>67.829348194834296</v>
      </c>
      <c r="H34" s="62">
        <v>54.49831744796434</v>
      </c>
      <c r="I34" s="16"/>
      <c r="J34" s="16"/>
      <c r="K34" s="93"/>
      <c r="L34" s="51" t="s">
        <v>3</v>
      </c>
      <c r="M34" s="61">
        <v>4.4998627452243296</v>
      </c>
      <c r="N34" s="20">
        <v>4.5392432135251548</v>
      </c>
      <c r="O34" s="20">
        <v>5.7377094213533093</v>
      </c>
      <c r="P34" s="20">
        <v>5.5903519380843525</v>
      </c>
      <c r="Q34" s="20">
        <v>10.408490751609371</v>
      </c>
      <c r="R34" s="62">
        <v>12.07857835661296</v>
      </c>
    </row>
    <row r="35" spans="1:18" ht="14.25" customHeight="1" thickBot="1" x14ac:dyDescent="0.25">
      <c r="A35" s="94"/>
      <c r="B35" s="46" t="s">
        <v>4</v>
      </c>
      <c r="C35" s="27">
        <v>92.022092118687723</v>
      </c>
      <c r="D35" s="28">
        <v>90.595214790087795</v>
      </c>
      <c r="E35" s="28">
        <v>88.72492398805278</v>
      </c>
      <c r="F35" s="28">
        <v>81.329213739665462</v>
      </c>
      <c r="G35" s="28">
        <v>68.057323824939019</v>
      </c>
      <c r="H35" s="29">
        <v>54.712414434422755</v>
      </c>
      <c r="I35" s="16"/>
      <c r="J35" s="16"/>
      <c r="K35" s="94"/>
      <c r="L35" s="46" t="s">
        <v>4</v>
      </c>
      <c r="M35" s="63">
        <v>4.0838340269167883</v>
      </c>
      <c r="N35" s="64">
        <v>5.9222562887934993</v>
      </c>
      <c r="O35" s="64">
        <v>5.6357875326578375</v>
      </c>
      <c r="P35" s="64">
        <v>6.8577481114689327</v>
      </c>
      <c r="Q35" s="64">
        <v>10.24135587369598</v>
      </c>
      <c r="R35" s="65">
        <v>11.85187923264103</v>
      </c>
    </row>
    <row r="38" spans="1:18" x14ac:dyDescent="0.2">
      <c r="D38"/>
      <c r="E38"/>
      <c r="F38"/>
      <c r="G38"/>
      <c r="H38"/>
      <c r="I38"/>
    </row>
    <row r="42" spans="1:18" x14ac:dyDescent="0.2">
      <c r="D42"/>
      <c r="E42"/>
      <c r="F42"/>
      <c r="G42"/>
      <c r="H42"/>
      <c r="I42"/>
    </row>
  </sheetData>
  <mergeCells count="28">
    <mergeCell ref="A31:H31"/>
    <mergeCell ref="K31:R31"/>
    <mergeCell ref="A32:A35"/>
    <mergeCell ref="K32:K35"/>
    <mergeCell ref="A22:B22"/>
    <mergeCell ref="K22:L22"/>
    <mergeCell ref="A26:H26"/>
    <mergeCell ref="K26:R26"/>
    <mergeCell ref="A27:A30"/>
    <mergeCell ref="K27:K30"/>
    <mergeCell ref="A14:A17"/>
    <mergeCell ref="K14:K17"/>
    <mergeCell ref="A20:B20"/>
    <mergeCell ref="K20:L20"/>
    <mergeCell ref="A21:B21"/>
    <mergeCell ref="K21:L21"/>
    <mergeCell ref="A8:H8"/>
    <mergeCell ref="K8:R8"/>
    <mergeCell ref="A9:A12"/>
    <mergeCell ref="K9:K12"/>
    <mergeCell ref="A13:H13"/>
    <mergeCell ref="K13:R13"/>
    <mergeCell ref="A2:B2"/>
    <mergeCell ref="K2:L2"/>
    <mergeCell ref="A3:B3"/>
    <mergeCell ref="K3:L3"/>
    <mergeCell ref="A4:B4"/>
    <mergeCell ref="K4:L4"/>
  </mergeCells>
  <phoneticPr fontId="1" type="noConversion"/>
  <conditionalFormatting sqref="A3:A4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2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B21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3:B24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H11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H16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6:H26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:H31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10 A12:H15 A17:H17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6 C9:H1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H5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H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0 C12:H12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 C14:H17 C2:H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H11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2:H4 C9:H10 C12:H12 C17:H17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9:H10 C2:H4 C12:H12 C17:H17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17:H17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I2:I10 C2:H3 C7:H7 I12:I15 C17:I17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H16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4:I10 I12:I15 I17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5 C9:I10 C2:I4 C12:I12 C17:I17 I5:I6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6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 I14:I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C2:H3 C7:H7 I12:I15 I17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:I15 I17">
    <cfRule type="colorScale" priority="1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6 I17 C7:H7 I8:I10 I12:I14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0 I14:I15 I2:I6 I12 I17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1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2:I6 I9:I10 I12 I17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9:I10 I2:I6 I12 I17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2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0 K12:L12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:L11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L21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L24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R13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6:R26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R3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C9:H12 C2:H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pcc_unified_nodes_A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2025-12-25T16:30:55Z</dcterms:modified>
</cp:coreProperties>
</file>