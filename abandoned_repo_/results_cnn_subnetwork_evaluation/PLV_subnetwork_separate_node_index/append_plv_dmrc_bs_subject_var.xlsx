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abandoned_repo_\results_cnn_subnetwork_evaluation\PLV_subnetwork_separate_node_index\"/>
    </mc:Choice>
  </mc:AlternateContent>
  <xr:revisionPtr revIDLastSave="0" documentId="13_ncr:1_{C852326D-33AF-4372-9B4F-7BC338AB2360}" xr6:coauthVersionLast="47" xr6:coauthVersionMax="47" xr10:uidLastSave="{00000000-0000-0000-0000-000000000000}"/>
  <bookViews>
    <workbookView xWindow="28680" yWindow="-210" windowWidth="29040" windowHeight="16440" tabRatio="633" xr2:uid="{00000000-000D-0000-FFFF-FFFF00000000}"/>
  </bookViews>
  <sheets>
    <sheet name="Baseline" sheetId="11" r:id="rId1"/>
    <sheet name="Exp_bs" sheetId="17" r:id="rId2"/>
    <sheet name="Gauss_bs" sheetId="18" r:id="rId3"/>
    <sheet name="Inverse_bs" sheetId="19" r:id="rId4"/>
    <sheet name="PL_bs" sheetId="20" r:id="rId5"/>
    <sheet name="RQ_bs" sheetId="21" r:id="rId6"/>
    <sheet name="GG_bs" sheetId="22" r:id="rId7"/>
    <sheet name="Sig_bs" sheetId="2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1" l="1"/>
  <c r="E34" i="11"/>
  <c r="F34" i="11"/>
  <c r="G34" i="11"/>
  <c r="H34" i="11"/>
  <c r="I34" i="11"/>
  <c r="C34" i="11"/>
  <c r="I32" i="23" l="1"/>
  <c r="H32" i="23"/>
  <c r="G32" i="23"/>
  <c r="F32" i="23"/>
  <c r="E32" i="23"/>
  <c r="D32" i="23"/>
  <c r="C32" i="23"/>
  <c r="I32" i="22"/>
  <c r="H32" i="22"/>
  <c r="G32" i="22"/>
  <c r="F32" i="22"/>
  <c r="E32" i="22"/>
  <c r="D32" i="22"/>
  <c r="C32" i="22"/>
  <c r="I32" i="21"/>
  <c r="H32" i="21"/>
  <c r="G32" i="21"/>
  <c r="F32" i="21"/>
  <c r="E32" i="21"/>
  <c r="D32" i="21"/>
  <c r="C32" i="21"/>
  <c r="I32" i="20"/>
  <c r="H32" i="20"/>
  <c r="G32" i="20"/>
  <c r="F32" i="20"/>
  <c r="E32" i="20"/>
  <c r="D32" i="20"/>
  <c r="C32" i="20"/>
  <c r="I32" i="19"/>
  <c r="H32" i="19"/>
  <c r="G32" i="19"/>
  <c r="F32" i="19"/>
  <c r="E32" i="19"/>
  <c r="D32" i="19"/>
  <c r="C32" i="19"/>
  <c r="I32" i="18"/>
  <c r="H32" i="18"/>
  <c r="G32" i="18"/>
  <c r="F32" i="18"/>
  <c r="E32" i="18"/>
  <c r="D32" i="18"/>
  <c r="C32" i="18"/>
  <c r="I32" i="17"/>
  <c r="H32" i="17"/>
  <c r="G32" i="17"/>
  <c r="F32" i="17"/>
  <c r="E32" i="17"/>
  <c r="D32" i="17"/>
  <c r="C32" i="17"/>
  <c r="I32" i="11"/>
  <c r="H32" i="11"/>
  <c r="G32" i="11"/>
  <c r="F32" i="11"/>
  <c r="E32" i="11"/>
  <c r="D32" i="11"/>
  <c r="C32" i="11"/>
  <c r="I34" i="23"/>
  <c r="H34" i="23"/>
  <c r="G34" i="23"/>
  <c r="F34" i="23"/>
  <c r="E34" i="23"/>
  <c r="D34" i="23"/>
  <c r="C34" i="23"/>
  <c r="I34" i="22"/>
  <c r="H34" i="22"/>
  <c r="G34" i="22"/>
  <c r="F34" i="22"/>
  <c r="E34" i="22"/>
  <c r="D34" i="22"/>
  <c r="C34" i="22"/>
  <c r="I34" i="21"/>
  <c r="H34" i="21"/>
  <c r="G34" i="21"/>
  <c r="F34" i="21"/>
  <c r="E34" i="21"/>
  <c r="D34" i="21"/>
  <c r="C34" i="21"/>
  <c r="F34" i="17"/>
  <c r="G34" i="17"/>
  <c r="H34" i="17"/>
  <c r="I34" i="17"/>
  <c r="C34" i="17"/>
  <c r="D34" i="17"/>
  <c r="E34" i="17"/>
  <c r="L2" i="11"/>
  <c r="D54" i="11"/>
  <c r="E54" i="11"/>
  <c r="F54" i="11"/>
  <c r="G54" i="11"/>
  <c r="H54" i="11"/>
  <c r="I54" i="11"/>
  <c r="D55" i="11"/>
  <c r="E55" i="11"/>
  <c r="F55" i="11"/>
  <c r="G55" i="11"/>
  <c r="H55" i="11"/>
  <c r="I55" i="11"/>
  <c r="D56" i="11"/>
  <c r="E56" i="11"/>
  <c r="F56" i="11"/>
  <c r="G56" i="11"/>
  <c r="H56" i="11"/>
  <c r="I56" i="11"/>
  <c r="D57" i="11"/>
  <c r="E57" i="11"/>
  <c r="F57" i="11"/>
  <c r="G57" i="11"/>
  <c r="H57" i="11"/>
  <c r="I57" i="11"/>
  <c r="D58" i="11"/>
  <c r="E58" i="11"/>
  <c r="F58" i="11"/>
  <c r="G58" i="11"/>
  <c r="H58" i="11"/>
  <c r="I58" i="11"/>
  <c r="D59" i="11"/>
  <c r="E59" i="11"/>
  <c r="F59" i="11"/>
  <c r="G59" i="11"/>
  <c r="H59" i="11"/>
  <c r="I59" i="11"/>
  <c r="D60" i="11"/>
  <c r="E60" i="11"/>
  <c r="F60" i="11"/>
  <c r="G60" i="11"/>
  <c r="H60" i="11"/>
  <c r="I60" i="11"/>
  <c r="D61" i="11"/>
  <c r="E61" i="11"/>
  <c r="F61" i="11"/>
  <c r="G61" i="11"/>
  <c r="H61" i="11"/>
  <c r="I61" i="11"/>
  <c r="D62" i="11"/>
  <c r="E62" i="11"/>
  <c r="F62" i="11"/>
  <c r="G62" i="11"/>
  <c r="H62" i="11"/>
  <c r="I62" i="11"/>
  <c r="C62" i="11"/>
  <c r="C61" i="11"/>
  <c r="C60" i="11"/>
  <c r="C59" i="11"/>
  <c r="C58" i="11"/>
  <c r="C57" i="11"/>
  <c r="C56" i="11"/>
  <c r="C55" i="11"/>
  <c r="C54" i="11"/>
  <c r="D53" i="11"/>
  <c r="E53" i="11"/>
  <c r="F53" i="11"/>
  <c r="G53" i="11"/>
  <c r="H53" i="11"/>
  <c r="I53" i="11"/>
  <c r="C53" i="11"/>
  <c r="I46" i="23"/>
  <c r="H46" i="23"/>
  <c r="G46" i="23"/>
  <c r="F46" i="23"/>
  <c r="E46" i="23"/>
  <c r="D46" i="23"/>
  <c r="C46" i="23"/>
  <c r="I45" i="23"/>
  <c r="H45" i="23"/>
  <c r="G45" i="23"/>
  <c r="F45" i="23"/>
  <c r="E45" i="23"/>
  <c r="D45" i="23"/>
  <c r="C45" i="23"/>
  <c r="I44" i="23"/>
  <c r="H44" i="23"/>
  <c r="G44" i="23"/>
  <c r="F44" i="23"/>
  <c r="E44" i="23"/>
  <c r="D44" i="23"/>
  <c r="C44" i="23"/>
  <c r="L44" i="23" s="1"/>
  <c r="I43" i="23"/>
  <c r="H43" i="23"/>
  <c r="G43" i="23"/>
  <c r="F43" i="23"/>
  <c r="E43" i="23"/>
  <c r="D43" i="23"/>
  <c r="C43" i="23"/>
  <c r="I42" i="23"/>
  <c r="H42" i="23"/>
  <c r="G42" i="23"/>
  <c r="F42" i="23"/>
  <c r="E42" i="23"/>
  <c r="D42" i="23"/>
  <c r="C42" i="23"/>
  <c r="I41" i="23"/>
  <c r="H41" i="23"/>
  <c r="G41" i="23"/>
  <c r="F41" i="23"/>
  <c r="E41" i="23"/>
  <c r="D41" i="23"/>
  <c r="C41" i="23"/>
  <c r="I40" i="23"/>
  <c r="H40" i="23"/>
  <c r="G40" i="23"/>
  <c r="F40" i="23"/>
  <c r="E40" i="23"/>
  <c r="D40" i="23"/>
  <c r="C40" i="23"/>
  <c r="L40" i="23" s="1"/>
  <c r="I39" i="23"/>
  <c r="H39" i="23"/>
  <c r="G39" i="23"/>
  <c r="F39" i="23"/>
  <c r="E39" i="23"/>
  <c r="D39" i="23"/>
  <c r="C39" i="23"/>
  <c r="L39" i="23" s="1"/>
  <c r="I38" i="23"/>
  <c r="H38" i="23"/>
  <c r="G38" i="23"/>
  <c r="F38" i="23"/>
  <c r="E38" i="23"/>
  <c r="D38" i="23"/>
  <c r="C38" i="23"/>
  <c r="I37" i="23"/>
  <c r="H37" i="23"/>
  <c r="G37" i="23"/>
  <c r="F37" i="23"/>
  <c r="E37" i="23"/>
  <c r="D37" i="23"/>
  <c r="C37" i="23"/>
  <c r="I46" i="22"/>
  <c r="H46" i="22"/>
  <c r="G46" i="22"/>
  <c r="F46" i="22"/>
  <c r="E46" i="22"/>
  <c r="D46" i="22"/>
  <c r="C46" i="22"/>
  <c r="I45" i="22"/>
  <c r="H45" i="22"/>
  <c r="G45" i="22"/>
  <c r="F45" i="22"/>
  <c r="E45" i="22"/>
  <c r="D45" i="22"/>
  <c r="C45" i="22"/>
  <c r="L45" i="22" s="1"/>
  <c r="I44" i="22"/>
  <c r="H44" i="22"/>
  <c r="G44" i="22"/>
  <c r="F44" i="22"/>
  <c r="E44" i="22"/>
  <c r="D44" i="22"/>
  <c r="C44" i="22"/>
  <c r="I43" i="22"/>
  <c r="H43" i="22"/>
  <c r="G43" i="22"/>
  <c r="F43" i="22"/>
  <c r="E43" i="22"/>
  <c r="D43" i="22"/>
  <c r="C43" i="22"/>
  <c r="I42" i="22"/>
  <c r="H42" i="22"/>
  <c r="G42" i="22"/>
  <c r="F42" i="22"/>
  <c r="E42" i="22"/>
  <c r="D42" i="22"/>
  <c r="C42" i="22"/>
  <c r="L42" i="22" s="1"/>
  <c r="I41" i="22"/>
  <c r="H41" i="22"/>
  <c r="G41" i="22"/>
  <c r="F41" i="22"/>
  <c r="E41" i="22"/>
  <c r="D41" i="22"/>
  <c r="C41" i="22"/>
  <c r="I40" i="22"/>
  <c r="H40" i="22"/>
  <c r="G40" i="22"/>
  <c r="F40" i="22"/>
  <c r="E40" i="22"/>
  <c r="D40" i="22"/>
  <c r="C40" i="22"/>
  <c r="I39" i="22"/>
  <c r="H39" i="22"/>
  <c r="G39" i="22"/>
  <c r="F39" i="22"/>
  <c r="E39" i="22"/>
  <c r="D39" i="22"/>
  <c r="C39" i="22"/>
  <c r="I38" i="22"/>
  <c r="H38" i="22"/>
  <c r="G38" i="22"/>
  <c r="F38" i="22"/>
  <c r="E38" i="22"/>
  <c r="D38" i="22"/>
  <c r="C38" i="22"/>
  <c r="I37" i="22"/>
  <c r="H37" i="22"/>
  <c r="G37" i="22"/>
  <c r="F37" i="22"/>
  <c r="E37" i="22"/>
  <c r="D37" i="22"/>
  <c r="C37" i="22"/>
  <c r="I46" i="21"/>
  <c r="H46" i="21"/>
  <c r="G46" i="21"/>
  <c r="F46" i="21"/>
  <c r="E46" i="21"/>
  <c r="D46" i="21"/>
  <c r="C46" i="21"/>
  <c r="I45" i="21"/>
  <c r="H45" i="21"/>
  <c r="G45" i="21"/>
  <c r="F45" i="21"/>
  <c r="E45" i="21"/>
  <c r="D45" i="21"/>
  <c r="C45" i="21"/>
  <c r="I44" i="21"/>
  <c r="H44" i="21"/>
  <c r="G44" i="21"/>
  <c r="F44" i="21"/>
  <c r="E44" i="21"/>
  <c r="D44" i="21"/>
  <c r="C44" i="21"/>
  <c r="I43" i="21"/>
  <c r="H43" i="21"/>
  <c r="G43" i="21"/>
  <c r="F43" i="21"/>
  <c r="E43" i="21"/>
  <c r="D43" i="21"/>
  <c r="C43" i="21"/>
  <c r="L43" i="21" s="1"/>
  <c r="I42" i="21"/>
  <c r="H42" i="21"/>
  <c r="G42" i="21"/>
  <c r="F42" i="21"/>
  <c r="E42" i="21"/>
  <c r="D42" i="21"/>
  <c r="C42" i="21"/>
  <c r="I41" i="21"/>
  <c r="H41" i="21"/>
  <c r="G41" i="21"/>
  <c r="F41" i="21"/>
  <c r="E41" i="21"/>
  <c r="D41" i="21"/>
  <c r="C41" i="21"/>
  <c r="I40" i="21"/>
  <c r="H40" i="21"/>
  <c r="G40" i="21"/>
  <c r="F40" i="21"/>
  <c r="E40" i="21"/>
  <c r="D40" i="21"/>
  <c r="C40" i="21"/>
  <c r="L40" i="21" s="1"/>
  <c r="I39" i="21"/>
  <c r="H39" i="21"/>
  <c r="G39" i="21"/>
  <c r="F39" i="21"/>
  <c r="E39" i="21"/>
  <c r="D39" i="21"/>
  <c r="C39" i="21"/>
  <c r="I38" i="21"/>
  <c r="H38" i="21"/>
  <c r="G38" i="21"/>
  <c r="F38" i="21"/>
  <c r="E38" i="21"/>
  <c r="D38" i="21"/>
  <c r="C38" i="21"/>
  <c r="L38" i="21" s="1"/>
  <c r="I37" i="21"/>
  <c r="H37" i="21"/>
  <c r="G37" i="21"/>
  <c r="F37" i="21"/>
  <c r="E37" i="21"/>
  <c r="D37" i="21"/>
  <c r="C37" i="21"/>
  <c r="I44" i="20"/>
  <c r="H44" i="20"/>
  <c r="G44" i="20"/>
  <c r="F44" i="20"/>
  <c r="E44" i="20"/>
  <c r="D44" i="20"/>
  <c r="C44" i="20"/>
  <c r="I43" i="20"/>
  <c r="H43" i="20"/>
  <c r="G43" i="20"/>
  <c r="F43" i="20"/>
  <c r="E43" i="20"/>
  <c r="D43" i="20"/>
  <c r="C43" i="20"/>
  <c r="I42" i="20"/>
  <c r="H42" i="20"/>
  <c r="G42" i="20"/>
  <c r="F42" i="20"/>
  <c r="E42" i="20"/>
  <c r="D42" i="20"/>
  <c r="C42" i="20"/>
  <c r="L42" i="20" s="1"/>
  <c r="I41" i="20"/>
  <c r="H41" i="20"/>
  <c r="G41" i="20"/>
  <c r="F41" i="20"/>
  <c r="E41" i="20"/>
  <c r="D41" i="20"/>
  <c r="C41" i="20"/>
  <c r="L41" i="20" s="1"/>
  <c r="I40" i="20"/>
  <c r="H40" i="20"/>
  <c r="G40" i="20"/>
  <c r="F40" i="20"/>
  <c r="E40" i="20"/>
  <c r="D40" i="20"/>
  <c r="C40" i="20"/>
  <c r="I39" i="20"/>
  <c r="H39" i="20"/>
  <c r="G39" i="20"/>
  <c r="F39" i="20"/>
  <c r="E39" i="20"/>
  <c r="D39" i="20"/>
  <c r="C39" i="20"/>
  <c r="I38" i="20"/>
  <c r="H38" i="20"/>
  <c r="G38" i="20"/>
  <c r="F38" i="20"/>
  <c r="E38" i="20"/>
  <c r="D38" i="20"/>
  <c r="C38" i="20"/>
  <c r="L38" i="20" s="1"/>
  <c r="I37" i="20"/>
  <c r="H37" i="20"/>
  <c r="G37" i="20"/>
  <c r="F37" i="20"/>
  <c r="E37" i="20"/>
  <c r="D37" i="20"/>
  <c r="C37" i="20"/>
  <c r="I36" i="20"/>
  <c r="H36" i="20"/>
  <c r="G36" i="20"/>
  <c r="F36" i="20"/>
  <c r="E36" i="20"/>
  <c r="D36" i="20"/>
  <c r="C36" i="20"/>
  <c r="I35" i="20"/>
  <c r="H35" i="20"/>
  <c r="G35" i="20"/>
  <c r="F35" i="20"/>
  <c r="E35" i="20"/>
  <c r="D35" i="20"/>
  <c r="C35" i="20"/>
  <c r="L35" i="20" s="1"/>
  <c r="I44" i="19"/>
  <c r="H44" i="19"/>
  <c r="G44" i="19"/>
  <c r="F44" i="19"/>
  <c r="E44" i="19"/>
  <c r="D44" i="19"/>
  <c r="C44" i="19"/>
  <c r="I43" i="19"/>
  <c r="H43" i="19"/>
  <c r="G43" i="19"/>
  <c r="F43" i="19"/>
  <c r="E43" i="19"/>
  <c r="D43" i="19"/>
  <c r="C43" i="19"/>
  <c r="I42" i="19"/>
  <c r="H42" i="19"/>
  <c r="G42" i="19"/>
  <c r="F42" i="19"/>
  <c r="E42" i="19"/>
  <c r="D42" i="19"/>
  <c r="C42" i="19"/>
  <c r="L42" i="19" s="1"/>
  <c r="I41" i="19"/>
  <c r="H41" i="19"/>
  <c r="G41" i="19"/>
  <c r="F41" i="19"/>
  <c r="E41" i="19"/>
  <c r="D41" i="19"/>
  <c r="C41" i="19"/>
  <c r="L41" i="19" s="1"/>
  <c r="I40" i="19"/>
  <c r="H40" i="19"/>
  <c r="G40" i="19"/>
  <c r="F40" i="19"/>
  <c r="E40" i="19"/>
  <c r="D40" i="19"/>
  <c r="C40" i="19"/>
  <c r="I39" i="19"/>
  <c r="H39" i="19"/>
  <c r="G39" i="19"/>
  <c r="F39" i="19"/>
  <c r="E39" i="19"/>
  <c r="D39" i="19"/>
  <c r="C39" i="19"/>
  <c r="I38" i="19"/>
  <c r="H38" i="19"/>
  <c r="G38" i="19"/>
  <c r="F38" i="19"/>
  <c r="E38" i="19"/>
  <c r="D38" i="19"/>
  <c r="C38" i="19"/>
  <c r="L38" i="19" s="1"/>
  <c r="I37" i="19"/>
  <c r="H37" i="19"/>
  <c r="G37" i="19"/>
  <c r="F37" i="19"/>
  <c r="E37" i="19"/>
  <c r="D37" i="19"/>
  <c r="C37" i="19"/>
  <c r="L37" i="19" s="1"/>
  <c r="I36" i="19"/>
  <c r="H36" i="19"/>
  <c r="G36" i="19"/>
  <c r="F36" i="19"/>
  <c r="E36" i="19"/>
  <c r="D36" i="19"/>
  <c r="C36" i="19"/>
  <c r="L36" i="19" s="1"/>
  <c r="I35" i="19"/>
  <c r="H35" i="19"/>
  <c r="G35" i="19"/>
  <c r="G47" i="19" s="1"/>
  <c r="F35" i="19"/>
  <c r="F47" i="19" s="1"/>
  <c r="E35" i="19"/>
  <c r="E45" i="19" s="1"/>
  <c r="D35" i="19"/>
  <c r="D47" i="19" s="1"/>
  <c r="C35" i="19"/>
  <c r="I44" i="18"/>
  <c r="H44" i="18"/>
  <c r="G44" i="18"/>
  <c r="F44" i="18"/>
  <c r="E44" i="18"/>
  <c r="D44" i="18"/>
  <c r="C44" i="18"/>
  <c r="I43" i="18"/>
  <c r="H43" i="18"/>
  <c r="G43" i="18"/>
  <c r="F43" i="18"/>
  <c r="E43" i="18"/>
  <c r="D43" i="18"/>
  <c r="C43" i="18"/>
  <c r="L43" i="18" s="1"/>
  <c r="I42" i="18"/>
  <c r="H42" i="18"/>
  <c r="G42" i="18"/>
  <c r="F42" i="18"/>
  <c r="E42" i="18"/>
  <c r="D42" i="18"/>
  <c r="C42" i="18"/>
  <c r="L42" i="18" s="1"/>
  <c r="I41" i="18"/>
  <c r="H41" i="18"/>
  <c r="G41" i="18"/>
  <c r="F41" i="18"/>
  <c r="E41" i="18"/>
  <c r="D41" i="18"/>
  <c r="C41" i="18"/>
  <c r="I40" i="18"/>
  <c r="H40" i="18"/>
  <c r="G40" i="18"/>
  <c r="F40" i="18"/>
  <c r="E40" i="18"/>
  <c r="D40" i="18"/>
  <c r="C40" i="18"/>
  <c r="L40" i="18" s="1"/>
  <c r="I39" i="18"/>
  <c r="H39" i="18"/>
  <c r="G39" i="18"/>
  <c r="F39" i="18"/>
  <c r="E39" i="18"/>
  <c r="D39" i="18"/>
  <c r="C39" i="18"/>
  <c r="I38" i="18"/>
  <c r="H38" i="18"/>
  <c r="G38" i="18"/>
  <c r="F38" i="18"/>
  <c r="E38" i="18"/>
  <c r="D38" i="18"/>
  <c r="C38" i="18"/>
  <c r="I37" i="18"/>
  <c r="H37" i="18"/>
  <c r="G37" i="18"/>
  <c r="F37" i="18"/>
  <c r="E37" i="18"/>
  <c r="D37" i="18"/>
  <c r="C37" i="18"/>
  <c r="L37" i="18" s="1"/>
  <c r="I36" i="18"/>
  <c r="H36" i="18"/>
  <c r="G36" i="18"/>
  <c r="F36" i="18"/>
  <c r="E36" i="18"/>
  <c r="D36" i="18"/>
  <c r="C36" i="18"/>
  <c r="I35" i="18"/>
  <c r="I45" i="18" s="1"/>
  <c r="H35" i="18"/>
  <c r="H47" i="18" s="1"/>
  <c r="G35" i="18"/>
  <c r="F35" i="18"/>
  <c r="E35" i="18"/>
  <c r="D35" i="18"/>
  <c r="C35" i="18"/>
  <c r="I46" i="17"/>
  <c r="H46" i="17"/>
  <c r="G46" i="17"/>
  <c r="F46" i="17"/>
  <c r="E46" i="17"/>
  <c r="D46" i="17"/>
  <c r="C46" i="17"/>
  <c r="I45" i="17"/>
  <c r="H45" i="17"/>
  <c r="G45" i="17"/>
  <c r="F45" i="17"/>
  <c r="E45" i="17"/>
  <c r="D45" i="17"/>
  <c r="C45" i="17"/>
  <c r="I44" i="17"/>
  <c r="H44" i="17"/>
  <c r="G44" i="17"/>
  <c r="F44" i="17"/>
  <c r="E44" i="17"/>
  <c r="D44" i="17"/>
  <c r="C44" i="17"/>
  <c r="L44" i="17" s="1"/>
  <c r="I43" i="17"/>
  <c r="H43" i="17"/>
  <c r="G43" i="17"/>
  <c r="F43" i="17"/>
  <c r="E43" i="17"/>
  <c r="D43" i="17"/>
  <c r="C43" i="17"/>
  <c r="I42" i="17"/>
  <c r="H42" i="17"/>
  <c r="G42" i="17"/>
  <c r="F42" i="17"/>
  <c r="E42" i="17"/>
  <c r="D42" i="17"/>
  <c r="C42" i="17"/>
  <c r="L42" i="17" s="1"/>
  <c r="I41" i="17"/>
  <c r="H41" i="17"/>
  <c r="G41" i="17"/>
  <c r="F41" i="17"/>
  <c r="E41" i="17"/>
  <c r="D41" i="17"/>
  <c r="C41" i="17"/>
  <c r="I40" i="17"/>
  <c r="H40" i="17"/>
  <c r="G40" i="17"/>
  <c r="F40" i="17"/>
  <c r="E40" i="17"/>
  <c r="D40" i="17"/>
  <c r="C40" i="17"/>
  <c r="L40" i="17" s="1"/>
  <c r="I39" i="17"/>
  <c r="H39" i="17"/>
  <c r="G39" i="17"/>
  <c r="F39" i="17"/>
  <c r="E39" i="17"/>
  <c r="D39" i="17"/>
  <c r="C39" i="17"/>
  <c r="L39" i="17" s="1"/>
  <c r="I38" i="17"/>
  <c r="H38" i="17"/>
  <c r="G38" i="17"/>
  <c r="F38" i="17"/>
  <c r="E38" i="17"/>
  <c r="D38" i="17"/>
  <c r="C38" i="17"/>
  <c r="I37" i="17"/>
  <c r="H37" i="17"/>
  <c r="G37" i="17"/>
  <c r="F37" i="17"/>
  <c r="E37" i="17"/>
  <c r="D37" i="17"/>
  <c r="C37" i="17"/>
  <c r="D46" i="11"/>
  <c r="E46" i="11"/>
  <c r="F46" i="11"/>
  <c r="G46" i="11"/>
  <c r="H46" i="11"/>
  <c r="I46" i="11"/>
  <c r="D45" i="11"/>
  <c r="E45" i="11"/>
  <c r="F45" i="11"/>
  <c r="G45" i="11"/>
  <c r="H45" i="11"/>
  <c r="I45" i="11"/>
  <c r="D44" i="11"/>
  <c r="E44" i="11"/>
  <c r="F44" i="11"/>
  <c r="G44" i="11"/>
  <c r="H44" i="11"/>
  <c r="I44" i="11"/>
  <c r="D43" i="11"/>
  <c r="E43" i="11"/>
  <c r="F43" i="11"/>
  <c r="G43" i="11"/>
  <c r="H43" i="11"/>
  <c r="I43" i="11"/>
  <c r="D42" i="11"/>
  <c r="E42" i="11"/>
  <c r="F42" i="11"/>
  <c r="G42" i="11"/>
  <c r="H42" i="11"/>
  <c r="I42" i="11"/>
  <c r="D41" i="11"/>
  <c r="E41" i="11"/>
  <c r="F41" i="11"/>
  <c r="G41" i="11"/>
  <c r="H41" i="11"/>
  <c r="I41" i="11"/>
  <c r="D40" i="11"/>
  <c r="E40" i="11"/>
  <c r="F40" i="11"/>
  <c r="G40" i="11"/>
  <c r="H40" i="11"/>
  <c r="I40" i="11"/>
  <c r="C46" i="11"/>
  <c r="C45" i="11"/>
  <c r="C44" i="11"/>
  <c r="C43" i="11"/>
  <c r="C42" i="11"/>
  <c r="C41" i="11"/>
  <c r="C40" i="11"/>
  <c r="D39" i="11"/>
  <c r="E39" i="11"/>
  <c r="F39" i="11"/>
  <c r="G39" i="11"/>
  <c r="H39" i="11"/>
  <c r="I39" i="11"/>
  <c r="C39" i="11"/>
  <c r="D38" i="11"/>
  <c r="E38" i="11"/>
  <c r="F38" i="11"/>
  <c r="G38" i="11"/>
  <c r="H38" i="11"/>
  <c r="I38" i="11"/>
  <c r="C38" i="11"/>
  <c r="D37" i="11"/>
  <c r="E37" i="11"/>
  <c r="F37" i="11"/>
  <c r="G37" i="11"/>
  <c r="H37" i="11"/>
  <c r="I37" i="11"/>
  <c r="C37" i="11"/>
  <c r="L31" i="23"/>
  <c r="L30" i="23"/>
  <c r="L29" i="23"/>
  <c r="L28" i="23"/>
  <c r="L27" i="23"/>
  <c r="L26" i="23"/>
  <c r="L25" i="23"/>
  <c r="L24" i="23"/>
  <c r="L23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4" i="23"/>
  <c r="L3" i="23"/>
  <c r="L2" i="23"/>
  <c r="L31" i="22"/>
  <c r="L30" i="22"/>
  <c r="L29" i="22"/>
  <c r="L28" i="22"/>
  <c r="L27" i="22"/>
  <c r="L26" i="22"/>
  <c r="L25" i="22"/>
  <c r="L24" i="22"/>
  <c r="L23" i="22"/>
  <c r="L22" i="22"/>
  <c r="L21" i="22"/>
  <c r="L20" i="22"/>
  <c r="L19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L3" i="22"/>
  <c r="L2" i="22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L2" i="21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" i="20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L5" i="19"/>
  <c r="L4" i="19"/>
  <c r="L3" i="19"/>
  <c r="L2" i="19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L3" i="18"/>
  <c r="L2" i="18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42" i="23" l="1"/>
  <c r="L45" i="23"/>
  <c r="L38" i="23"/>
  <c r="L43" i="23"/>
  <c r="L43" i="22"/>
  <c r="L38" i="22"/>
  <c r="D49" i="21"/>
  <c r="E49" i="21"/>
  <c r="L44" i="21"/>
  <c r="E47" i="20"/>
  <c r="H45" i="20"/>
  <c r="L36" i="20"/>
  <c r="F47" i="20"/>
  <c r="I47" i="20"/>
  <c r="L44" i="20"/>
  <c r="D47" i="20"/>
  <c r="G45" i="20"/>
  <c r="L37" i="20"/>
  <c r="L40" i="20"/>
  <c r="E45" i="20"/>
  <c r="L43" i="20"/>
  <c r="H47" i="19"/>
  <c r="L40" i="19"/>
  <c r="L43" i="19"/>
  <c r="H45" i="19"/>
  <c r="I47" i="19"/>
  <c r="C47" i="19"/>
  <c r="L36" i="18"/>
  <c r="L38" i="18"/>
  <c r="E47" i="18"/>
  <c r="D47" i="18"/>
  <c r="F47" i="18"/>
  <c r="C47" i="18"/>
  <c r="G47" i="18"/>
  <c r="I49" i="17"/>
  <c r="E49" i="17"/>
  <c r="F49" i="17"/>
  <c r="H47" i="17"/>
  <c r="L38" i="17"/>
  <c r="L39" i="20"/>
  <c r="L44" i="19"/>
  <c r="L39" i="19"/>
  <c r="G45" i="19"/>
  <c r="L41" i="18"/>
  <c r="L44" i="18"/>
  <c r="L39" i="18"/>
  <c r="I47" i="18"/>
  <c r="L46" i="17"/>
  <c r="L41" i="23"/>
  <c r="G49" i="23"/>
  <c r="H49" i="23"/>
  <c r="D49" i="23"/>
  <c r="I49" i="23"/>
  <c r="C49" i="23"/>
  <c r="E49" i="23"/>
  <c r="F49" i="23"/>
  <c r="L46" i="23"/>
  <c r="E49" i="22"/>
  <c r="L40" i="22"/>
  <c r="F49" i="22"/>
  <c r="G49" i="22"/>
  <c r="H49" i="22"/>
  <c r="D49" i="22"/>
  <c r="L46" i="22"/>
  <c r="I49" i="22"/>
  <c r="C49" i="22"/>
  <c r="L44" i="22"/>
  <c r="L41" i="22"/>
  <c r="L39" i="22"/>
  <c r="L46" i="21"/>
  <c r="I49" i="21"/>
  <c r="L41" i="21"/>
  <c r="F49" i="21"/>
  <c r="L42" i="21"/>
  <c r="L45" i="21"/>
  <c r="G49" i="21"/>
  <c r="L39" i="21"/>
  <c r="H49" i="21"/>
  <c r="C49" i="21"/>
  <c r="D49" i="17"/>
  <c r="L43" i="17"/>
  <c r="G49" i="17"/>
  <c r="L41" i="17"/>
  <c r="L45" i="17"/>
  <c r="C49" i="17"/>
  <c r="I63" i="11"/>
  <c r="C49" i="11"/>
  <c r="C63" i="11"/>
  <c r="H63" i="11"/>
  <c r="F63" i="11"/>
  <c r="E63" i="11"/>
  <c r="G63" i="11"/>
  <c r="D63" i="11"/>
  <c r="L42" i="11"/>
  <c r="L39" i="11"/>
  <c r="L45" i="11"/>
  <c r="L41" i="11"/>
  <c r="C47" i="23"/>
  <c r="D47" i="23"/>
  <c r="E47" i="23"/>
  <c r="F47" i="23"/>
  <c r="G47" i="23"/>
  <c r="H47" i="23"/>
  <c r="I47" i="23"/>
  <c r="L37" i="23"/>
  <c r="E47" i="22"/>
  <c r="F47" i="22"/>
  <c r="G47" i="22"/>
  <c r="C47" i="22"/>
  <c r="D47" i="22"/>
  <c r="H47" i="22"/>
  <c r="I47" i="22"/>
  <c r="L37" i="22"/>
  <c r="I47" i="21"/>
  <c r="C47" i="21"/>
  <c r="D47" i="21"/>
  <c r="E47" i="21"/>
  <c r="F47" i="21"/>
  <c r="G47" i="21"/>
  <c r="H47" i="21"/>
  <c r="L37" i="21"/>
  <c r="D45" i="20"/>
  <c r="I45" i="20"/>
  <c r="G47" i="20"/>
  <c r="C45" i="20"/>
  <c r="L45" i="20" s="1"/>
  <c r="F45" i="20"/>
  <c r="C47" i="20"/>
  <c r="H47" i="20"/>
  <c r="I45" i="19"/>
  <c r="D45" i="19"/>
  <c r="F45" i="19"/>
  <c r="E47" i="19"/>
  <c r="L35" i="19"/>
  <c r="C45" i="19"/>
  <c r="L45" i="19" s="1"/>
  <c r="F45" i="18"/>
  <c r="G45" i="18"/>
  <c r="H45" i="18"/>
  <c r="C45" i="18"/>
  <c r="D45" i="18"/>
  <c r="E45" i="18"/>
  <c r="L35" i="18"/>
  <c r="C47" i="17"/>
  <c r="D47" i="17"/>
  <c r="F47" i="17"/>
  <c r="G47" i="17"/>
  <c r="I47" i="17"/>
  <c r="H49" i="17"/>
  <c r="E47" i="17"/>
  <c r="L37" i="17"/>
  <c r="H49" i="11"/>
  <c r="H66" i="11" s="1"/>
  <c r="G49" i="11"/>
  <c r="D47" i="11"/>
  <c r="L37" i="11"/>
  <c r="D49" i="11"/>
  <c r="D66" i="11" s="1"/>
  <c r="L43" i="11"/>
  <c r="F49" i="11"/>
  <c r="F66" i="11" s="1"/>
  <c r="I49" i="11"/>
  <c r="E49" i="11"/>
  <c r="E66" i="11" s="1"/>
  <c r="L38" i="11"/>
  <c r="L40" i="11"/>
  <c r="L44" i="11"/>
  <c r="G47" i="11"/>
  <c r="C47" i="11"/>
  <c r="F47" i="11"/>
  <c r="L46" i="11"/>
  <c r="E47" i="11"/>
  <c r="I47" i="11"/>
  <c r="H47" i="11"/>
  <c r="I66" i="11" l="1"/>
  <c r="G66" i="11"/>
  <c r="C66" i="11"/>
  <c r="L47" i="23"/>
  <c r="L47" i="22"/>
  <c r="L47" i="21"/>
  <c r="L45" i="18"/>
  <c r="L47" i="17"/>
  <c r="L47" i="11"/>
</calcChain>
</file>

<file path=xl/sharedStrings.xml><?xml version="1.0" encoding="utf-8"?>
<sst xmlns="http://schemas.openxmlformats.org/spreadsheetml/2006/main" count="384" uniqueCount="53">
  <si>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</si>
  <si>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</si>
  <si>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</si>
  <si>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</si>
  <si>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</si>
  <si>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</si>
  <si>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</si>
  <si>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</si>
  <si>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</si>
  <si>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</si>
  <si>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</si>
  <si>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</si>
  <si>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</si>
  <si>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</si>
  <si>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</si>
  <si>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</si>
  <si>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</si>
  <si>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</si>
  <si>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</si>
  <si>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</si>
  <si>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</si>
  <si>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</si>
  <si>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</si>
  <si>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</si>
  <si>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</si>
  <si>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</si>
  <si>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</si>
  <si>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</si>
  <si>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</si>
  <si>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</si>
  <si>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</si>
  <si>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</si>
  <si>
    <t>Avg</t>
    <phoneticPr fontId="1" type="noConversion"/>
  </si>
  <si>
    <t>sub6</t>
    <phoneticPr fontId="1" type="noConversion"/>
  </si>
  <si>
    <t>sub7</t>
  </si>
  <si>
    <t>sub8</t>
  </si>
  <si>
    <t>sub9</t>
  </si>
  <si>
    <t>sub10</t>
  </si>
  <si>
    <t>sub11</t>
  </si>
  <si>
    <t>sub12</t>
  </si>
  <si>
    <t>sub13</t>
  </si>
  <si>
    <t>sub14</t>
  </si>
  <si>
    <t>sub15</t>
  </si>
  <si>
    <t>Exponential</t>
    <phoneticPr fontId="1" type="noConversion"/>
  </si>
  <si>
    <t>Gaussian</t>
    <phoneticPr fontId="1" type="noConversion"/>
  </si>
  <si>
    <t>Inverse</t>
    <phoneticPr fontId="1" type="noConversion"/>
  </si>
  <si>
    <t>Rational Quadratic</t>
    <phoneticPr fontId="1" type="noConversion"/>
  </si>
  <si>
    <t>Power Law</t>
    <phoneticPr fontId="1" type="noConversion"/>
  </si>
  <si>
    <t>Generalized Gaussian</t>
    <phoneticPr fontId="1" type="noConversion"/>
  </si>
  <si>
    <t>Sigmoid</t>
    <phoneticPr fontId="1" type="noConversion"/>
  </si>
  <si>
    <t>Avg across experiments</t>
    <phoneticPr fontId="1" type="noConversion"/>
  </si>
  <si>
    <t>Std within subject</t>
    <phoneticPr fontId="1" type="noConversion"/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</si>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</sst>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66"/>
  <sheetViews>
    <sheetView tabSelected="1" workbookViewId="0"/>
  </sheetViews>
  <sheetFormatPr defaultRowHeight="14.25"/>
  <sheetData>
    <row r="1" spans="1:12" ht="15" thickBot="1">
      <c r="A1" s="4" t="s">
        <v>31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90.855457227138643</v>
      </c>
      <c r="D2">
        <v>90.088495575221231</v>
      </c>
      <c r="E2">
        <v>87.905604719764</v>
      </c>
      <c r="F2">
        <v>87.52229690568258</v>
      </c>
      <c r="G2">
        <v>80.454588707514773</v>
      </c>
      <c r="H2">
        <v>59.059420929246791</v>
      </c>
      <c r="I2">
        <v>49.20769210806322</v>
      </c>
      <c r="L2" t="str">
        <f>"    "&amp;_xlfn.TEXTJOIN(", ",TRUE,C2:I2)&amp;","</f>
        <v xml:space="preserve">    90.8554572271386, 90.0884955752212, 87.905604719764, 87.5222969056826, 80.4545887075148, 59.0594209292468, 49.2076921080632,</v>
      </c>
    </row>
    <row r="3" spans="1:12">
      <c r="B3" t="s">
        <v>1</v>
      </c>
      <c r="C3">
        <v>94.159292035398238</v>
      </c>
      <c r="D3">
        <v>93.156342182890853</v>
      </c>
      <c r="E3">
        <v>92.359882005899706</v>
      </c>
      <c r="F3">
        <v>88.259760032526231</v>
      </c>
      <c r="G3">
        <v>82.775110511336607</v>
      </c>
      <c r="H3">
        <v>60.002595178158977</v>
      </c>
      <c r="I3">
        <v>46.413463784288787</v>
      </c>
      <c r="L3" t="str">
        <f t="shared" ref="L3:L31" si="0">"    "&amp;_xlfn.TEXTJOIN(", ",TRUE,C3:I3)&amp;","</f>
        <v xml:space="preserve">    94.1592920353982, 93.1563421828909, 92.3598820058997, 88.2597600325262, 82.7751105113366, 60.002595178159, 46.4134637842888,</v>
      </c>
    </row>
    <row r="4" spans="1:12">
      <c r="B4" t="s">
        <v>2</v>
      </c>
      <c r="C4">
        <v>88.141592920353986</v>
      </c>
      <c r="D4">
        <v>88.525073746312685</v>
      </c>
      <c r="E4">
        <v>87.374631268436573</v>
      </c>
      <c r="F4">
        <v>82.595870206489678</v>
      </c>
      <c r="G4">
        <v>71.914030398186839</v>
      </c>
      <c r="H4">
        <v>58.266940025432753</v>
      </c>
      <c r="I4">
        <v>45.444164741909532</v>
      </c>
      <c r="L4" t="str">
        <f t="shared" si="0"/>
        <v xml:space="preserve">    88.141592920354, 88.5250737463127, 87.3746312684366, 82.5958702064897, 71.9140303981868, 58.2669400254328, 45.4441647419095,</v>
      </c>
    </row>
    <row r="5" spans="1:12">
      <c r="B5" t="s">
        <v>3</v>
      </c>
      <c r="C5">
        <v>91.238938053097343</v>
      </c>
      <c r="D5">
        <v>91.150442477876112</v>
      </c>
      <c r="E5">
        <v>89.705014749262546</v>
      </c>
      <c r="F5">
        <v>84.631268436578168</v>
      </c>
      <c r="G5">
        <v>81.034005484476509</v>
      </c>
      <c r="H5">
        <v>45.87453178660715</v>
      </c>
      <c r="I5">
        <v>38.147302312303736</v>
      </c>
      <c r="L5" t="str">
        <f t="shared" si="0"/>
        <v xml:space="preserve">    91.2389380530973, 91.1504424778761, 89.7050147492625, 84.6312684365782, 81.0340054844765, 45.8745317866072, 38.1473023123037,</v>
      </c>
    </row>
    <row r="6" spans="1:12">
      <c r="B6" t="s">
        <v>4</v>
      </c>
      <c r="C6">
        <v>94.926253687315636</v>
      </c>
      <c r="D6">
        <v>94.188790560471972</v>
      </c>
      <c r="E6">
        <v>93.008849557522126</v>
      </c>
      <c r="F6">
        <v>85.722886876184049</v>
      </c>
      <c r="G6">
        <v>72.227614425730323</v>
      </c>
      <c r="H6">
        <v>59.612366888986926</v>
      </c>
      <c r="I6">
        <v>41.155286810439527</v>
      </c>
      <c r="L6" t="str">
        <f t="shared" si="0"/>
        <v xml:space="preserve">    94.9262536873156, 94.188790560472, 93.0088495575221, 85.722886876184, 72.2276144257303, 59.6123668889869, 41.1552868104395,</v>
      </c>
    </row>
    <row r="7" spans="1:12">
      <c r="B7" t="s">
        <v>5</v>
      </c>
      <c r="C7">
        <v>94.601769911504419</v>
      </c>
      <c r="D7">
        <v>92.654867256637175</v>
      </c>
      <c r="E7">
        <v>91.740412979351021</v>
      </c>
      <c r="F7">
        <v>90.796633188868412</v>
      </c>
      <c r="G7">
        <v>78.710369466863909</v>
      </c>
      <c r="H7">
        <v>48.125416309829667</v>
      </c>
      <c r="I7">
        <v>36.735698405695551</v>
      </c>
      <c r="L7" t="str">
        <f t="shared" si="0"/>
        <v xml:space="preserve">    94.6017699115044, 92.6548672566372, 91.740412979351, 90.7966331888684, 78.7103694668639, 48.1254163098297, 36.7356984056956,</v>
      </c>
    </row>
    <row r="8" spans="1:12">
      <c r="B8" t="s">
        <v>6</v>
      </c>
      <c r="C8">
        <v>92.359882005899706</v>
      </c>
      <c r="D8">
        <v>91.622418879056042</v>
      </c>
      <c r="E8">
        <v>91.681415929203538</v>
      </c>
      <c r="F8">
        <v>90.825958702064895</v>
      </c>
      <c r="G8">
        <v>84.988191939376634</v>
      </c>
      <c r="H8">
        <v>65.63759202069221</v>
      </c>
      <c r="I8">
        <v>59.770153721052949</v>
      </c>
      <c r="L8" t="str">
        <f t="shared" si="0"/>
        <v xml:space="preserve">    92.3598820058997, 91.622418879056, 91.6814159292035, 90.8259587020649, 84.9881919393766, 65.6375920206922, 59.7701537210529,</v>
      </c>
    </row>
    <row r="9" spans="1:12">
      <c r="B9" t="s">
        <v>7</v>
      </c>
      <c r="C9">
        <v>97.256637168141594</v>
      </c>
      <c r="D9">
        <v>97.16814159292035</v>
      </c>
      <c r="E9">
        <v>96.312684365781706</v>
      </c>
      <c r="F9">
        <v>90.825958702064895</v>
      </c>
      <c r="G9">
        <v>87.965812853052356</v>
      </c>
      <c r="H9">
        <v>63.159888926374798</v>
      </c>
      <c r="I9">
        <v>54.088184153842157</v>
      </c>
      <c r="L9" t="str">
        <f t="shared" si="0"/>
        <v xml:space="preserve">    97.2566371681416, 97.1681415929203, 96.3126843657817, 90.8259587020649, 87.9658128530524, 63.1598889263748, 54.0881841538422,</v>
      </c>
    </row>
    <row r="10" spans="1:12">
      <c r="B10" t="s">
        <v>8</v>
      </c>
      <c r="C10">
        <v>97.581120943952811</v>
      </c>
      <c r="D10">
        <v>97.935103244837762</v>
      </c>
      <c r="E10">
        <v>96.371681415929203</v>
      </c>
      <c r="F10">
        <v>91.061946902654853</v>
      </c>
      <c r="G10">
        <v>80.981928909419622</v>
      </c>
      <c r="H10">
        <v>70.200520765750568</v>
      </c>
      <c r="I10">
        <v>55.59641519390307</v>
      </c>
      <c r="L10" t="str">
        <f t="shared" si="0"/>
        <v xml:space="preserve">    97.5811209439528, 97.9351032448378, 96.3716814159292, 91.0619469026549, 80.9819289094196, 70.2005207657506, 55.5964151939031,</v>
      </c>
    </row>
    <row r="11" spans="1:12">
      <c r="B11" t="s">
        <v>9</v>
      </c>
      <c r="C11">
        <v>96.607669616519175</v>
      </c>
      <c r="D11">
        <v>96.224188790560476</v>
      </c>
      <c r="E11">
        <v>96.607669616519175</v>
      </c>
      <c r="F11">
        <v>90.471976401179944</v>
      </c>
      <c r="G11">
        <v>80.777169352676054</v>
      </c>
      <c r="H11">
        <v>58.076367442624942</v>
      </c>
      <c r="I11">
        <v>49.972577617453439</v>
      </c>
      <c r="L11" t="str">
        <f t="shared" si="0"/>
        <v xml:space="preserve">    96.6076696165192, 96.2241887905605, 96.6076696165192, 90.4719764011799, 80.7771693526761, 58.0763674426249, 49.9725776174534,</v>
      </c>
    </row>
    <row r="12" spans="1:12">
      <c r="B12" t="s">
        <v>10</v>
      </c>
      <c r="C12">
        <v>91.91740412979351</v>
      </c>
      <c r="D12">
        <v>91.386430678466084</v>
      </c>
      <c r="E12">
        <v>90.678466076696168</v>
      </c>
      <c r="F12">
        <v>88.820058997050154</v>
      </c>
      <c r="G12">
        <v>77.095217086652994</v>
      </c>
      <c r="H12">
        <v>57.515895466223753</v>
      </c>
      <c r="I12">
        <v>45.373056860353458</v>
      </c>
      <c r="L12" t="str">
        <f t="shared" si="0"/>
        <v xml:space="preserve">    91.9174041297935, 91.3864306784661, 90.6784660766962, 88.8200589970502, 77.095217086653, 57.5158954662238, 45.3730568603535,</v>
      </c>
    </row>
    <row r="13" spans="1:12">
      <c r="B13" t="s">
        <v>11</v>
      </c>
      <c r="C13">
        <v>96.696165191740405</v>
      </c>
      <c r="D13">
        <v>95.13274336283186</v>
      </c>
      <c r="E13">
        <v>93.834808259587021</v>
      </c>
      <c r="F13">
        <v>91.032621389458384</v>
      </c>
      <c r="G13">
        <v>82.891201480981664</v>
      </c>
      <c r="H13">
        <v>58.807083106255241</v>
      </c>
      <c r="I13">
        <v>50.440228721701743</v>
      </c>
      <c r="L13" t="str">
        <f t="shared" si="0"/>
        <v xml:space="preserve">    96.6961651917404, 95.1327433628319, 93.834808259587, 91.0326213894584, 82.8912014809817, 58.8070831062552, 50.4402287217017,</v>
      </c>
    </row>
    <row r="14" spans="1:12">
      <c r="B14" t="s">
        <v>12</v>
      </c>
      <c r="C14">
        <v>92.005899705014741</v>
      </c>
      <c r="D14">
        <v>87.079646017699105</v>
      </c>
      <c r="E14">
        <v>85.575221238938042</v>
      </c>
      <c r="F14">
        <v>83.961106929990734</v>
      </c>
      <c r="G14">
        <v>75.6362079256741</v>
      </c>
      <c r="H14">
        <v>64.081436690628806</v>
      </c>
      <c r="I14">
        <v>47.280253289388313</v>
      </c>
      <c r="L14" t="str">
        <f t="shared" si="0"/>
        <v xml:space="preserve">    92.0058997050147, 87.0796460176991, 85.575221238938, 83.9611069299907, 75.6362079256741, 64.0814366906288, 47.2802532893883,</v>
      </c>
    </row>
    <row r="15" spans="1:12">
      <c r="B15" t="s">
        <v>13</v>
      </c>
      <c r="C15">
        <v>90.324483775811203</v>
      </c>
      <c r="D15">
        <v>88.967551622418881</v>
      </c>
      <c r="E15">
        <v>88.731563421828895</v>
      </c>
      <c r="F15">
        <v>85.693561362987566</v>
      </c>
      <c r="G15">
        <v>76.641320426647297</v>
      </c>
      <c r="H15">
        <v>49.377416759660562</v>
      </c>
      <c r="I15">
        <v>40.855284215261378</v>
      </c>
      <c r="L15" t="str">
        <f t="shared" si="0"/>
        <v xml:space="preserve">    90.3244837758112, 88.9675516224189, 88.7315634218289, 85.6935613629876, 76.6413204266473, 49.3774167596606, 40.8552842152614,</v>
      </c>
    </row>
    <row r="16" spans="1:12">
      <c r="B16" t="s">
        <v>14</v>
      </c>
      <c r="C16">
        <v>92.772861356932168</v>
      </c>
      <c r="D16">
        <v>87.315634218289091</v>
      </c>
      <c r="E16">
        <v>85.752558413135063</v>
      </c>
      <c r="F16">
        <v>80.454588707514773</v>
      </c>
      <c r="G16">
        <v>71.054766909748352</v>
      </c>
      <c r="H16">
        <v>56.541752091281069</v>
      </c>
      <c r="I16">
        <v>40.121800361594822</v>
      </c>
      <c r="L16" t="str">
        <f t="shared" si="0"/>
        <v xml:space="preserve">    92.7728613569322, 87.3156342182891, 85.7525584131351, 80.4545887075148, 71.0547669097484, 56.5417520912811, 40.1218003615948,</v>
      </c>
    </row>
    <row r="17" spans="2:12">
      <c r="B17" t="s">
        <v>15</v>
      </c>
      <c r="C17">
        <v>95.309734513274336</v>
      </c>
      <c r="D17">
        <v>93.126843657817105</v>
      </c>
      <c r="E17">
        <v>92.772861356932168</v>
      </c>
      <c r="F17">
        <v>91.356932153392336</v>
      </c>
      <c r="G17">
        <v>72.800024221662824</v>
      </c>
      <c r="H17">
        <v>59.485376171074137</v>
      </c>
      <c r="I17">
        <v>48.758293756866408</v>
      </c>
      <c r="L17" t="str">
        <f t="shared" si="0"/>
        <v xml:space="preserve">    95.3097345132743, 93.1268436578171, 92.7728613569322, 91.3569321533923, 72.8000242216628, 59.4853761710741, 48.7582937568664,</v>
      </c>
    </row>
    <row r="18" spans="2:12">
      <c r="B18" t="s">
        <v>16</v>
      </c>
      <c r="C18">
        <v>92.271386430678461</v>
      </c>
      <c r="D18">
        <v>91.712125537418132</v>
      </c>
      <c r="E18">
        <v>89.558733207034663</v>
      </c>
      <c r="F18">
        <v>80.421283921141182</v>
      </c>
      <c r="G18">
        <v>70.820854851685567</v>
      </c>
      <c r="H18">
        <v>62.59189093331257</v>
      </c>
      <c r="I18">
        <v>49.97136653431258</v>
      </c>
      <c r="L18" t="str">
        <f t="shared" si="0"/>
        <v xml:space="preserve">    92.2713864306785, 91.7121255374181, 89.5587332070347, 80.4212839211412, 70.8208548516856, 62.5918909333126, 49.9713665343126,</v>
      </c>
    </row>
    <row r="19" spans="2:12">
      <c r="B19" t="s">
        <v>17</v>
      </c>
      <c r="C19">
        <v>97.109144542772853</v>
      </c>
      <c r="D19">
        <v>95.044247787610615</v>
      </c>
      <c r="E19">
        <v>94.21828908554572</v>
      </c>
      <c r="F19">
        <v>90.265486725663706</v>
      </c>
      <c r="G19">
        <v>83.809462019567633</v>
      </c>
      <c r="H19">
        <v>73.037569529148172</v>
      </c>
      <c r="I19">
        <v>50.525783095009473</v>
      </c>
      <c r="L19" t="str">
        <f t="shared" si="0"/>
        <v xml:space="preserve">    97.1091445427729, 95.0442477876106, 94.2182890855457, 90.2654867256637, 83.8094620195676, 73.0375695291482, 50.5257830950095,</v>
      </c>
    </row>
    <row r="20" spans="2:12">
      <c r="B20" t="s">
        <v>18</v>
      </c>
      <c r="C20">
        <v>92.064896755162238</v>
      </c>
      <c r="D20">
        <v>92.56637168141593</v>
      </c>
      <c r="E20">
        <v>91.976401179941007</v>
      </c>
      <c r="F20">
        <v>84.838104135848923</v>
      </c>
      <c r="G20">
        <v>75.992093357208972</v>
      </c>
      <c r="H20">
        <v>57.968148513395441</v>
      </c>
      <c r="I20">
        <v>47.580601908321007</v>
      </c>
      <c r="L20" t="str">
        <f t="shared" si="0"/>
        <v xml:space="preserve">    92.0648967551622, 92.5663716814159, 91.976401179941, 84.8381041358489, 75.992093357209, 57.9681485133954, 47.580601908321,</v>
      </c>
    </row>
    <row r="21" spans="2:12">
      <c r="B21" t="s">
        <v>19</v>
      </c>
      <c r="C21">
        <v>88.90872758414865</v>
      </c>
      <c r="D21">
        <v>81.65191740412979</v>
      </c>
      <c r="E21">
        <v>82.21256239240823</v>
      </c>
      <c r="F21">
        <v>81.03279440133565</v>
      </c>
      <c r="G21">
        <v>76.377736831633484</v>
      </c>
      <c r="H21">
        <v>59.979584598482688</v>
      </c>
      <c r="I21">
        <v>49.586155589581217</v>
      </c>
      <c r="L21" t="str">
        <f t="shared" si="0"/>
        <v xml:space="preserve">    88.9087275841487, 81.6519174041298, 82.2125623924082, 81.0327944013357, 76.3777368316335, 59.9795845984827, 49.5861555895812,</v>
      </c>
    </row>
    <row r="22" spans="2:12">
      <c r="B22" t="s">
        <v>20</v>
      </c>
      <c r="C22">
        <v>94.513274336283189</v>
      </c>
      <c r="D22">
        <v>93.215512244915615</v>
      </c>
      <c r="E22">
        <v>92.005899705014741</v>
      </c>
      <c r="F22">
        <v>90.06263029957006</v>
      </c>
      <c r="G22">
        <v>84.170537807420487</v>
      </c>
      <c r="H22">
        <v>65.874272268791259</v>
      </c>
      <c r="I22">
        <v>50.515748406128083</v>
      </c>
      <c r="L22" t="str">
        <f t="shared" si="0"/>
        <v xml:space="preserve">    94.5132743362832, 93.2155122449156, 92.0058997050147, 90.0626302995701, 84.1705378074205, 65.8742722687913, 50.5157484061281,</v>
      </c>
    </row>
    <row r="23" spans="2:12">
      <c r="B23" t="s">
        <v>21</v>
      </c>
      <c r="C23">
        <v>92.035398230088504</v>
      </c>
      <c r="D23">
        <v>90.26548672566372</v>
      </c>
      <c r="E23">
        <v>89.970501474926252</v>
      </c>
      <c r="F23">
        <v>77.880431491621906</v>
      </c>
      <c r="G23">
        <v>64.748483983425459</v>
      </c>
      <c r="H23">
        <v>47.43518542547946</v>
      </c>
      <c r="I23">
        <v>35.936470038668148</v>
      </c>
      <c r="L23" t="str">
        <f t="shared" si="0"/>
        <v xml:space="preserve">    92.0353982300885, 90.2654867256637, 89.9705014749263, 77.8804314916219, 64.7484839834255, 47.4351854254795, 35.9364700386681,</v>
      </c>
    </row>
    <row r="24" spans="2:12">
      <c r="B24" t="s">
        <v>22</v>
      </c>
      <c r="C24">
        <v>93.30383480825958</v>
      </c>
      <c r="D24">
        <v>93.038348082595874</v>
      </c>
      <c r="E24">
        <v>90.353982300884951</v>
      </c>
      <c r="F24">
        <v>82.124585852818797</v>
      </c>
      <c r="G24">
        <v>71.871036946686388</v>
      </c>
      <c r="H24">
        <v>47.046687255080073</v>
      </c>
      <c r="I24">
        <v>35.293903926504562</v>
      </c>
      <c r="L24" t="str">
        <f t="shared" si="0"/>
        <v xml:space="preserve">    93.3038348082596, 93.0383480825959, 90.353982300885, 82.1245858528188, 71.8710369466864, 47.0466872550801, 35.2939039265046,</v>
      </c>
    </row>
    <row r="25" spans="2:12">
      <c r="B25" t="s">
        <v>23</v>
      </c>
      <c r="C25">
        <v>92.684365781710909</v>
      </c>
      <c r="D25">
        <v>91.976401179941007</v>
      </c>
      <c r="E25">
        <v>90.117994100294979</v>
      </c>
      <c r="F25">
        <v>83.982300884955748</v>
      </c>
      <c r="G25">
        <v>72.050450263410582</v>
      </c>
      <c r="H25">
        <v>53.908597825240697</v>
      </c>
      <c r="I25">
        <v>39.929151636259817</v>
      </c>
      <c r="L25" t="str">
        <f t="shared" si="0"/>
        <v xml:space="preserve">    92.6843657817109, 91.976401179941, 90.117994100295, 83.9823008849557, 72.0504502634106, 53.9085978252407, 39.9291516362598,</v>
      </c>
    </row>
    <row r="26" spans="2:12">
      <c r="B26" t="s">
        <v>24</v>
      </c>
      <c r="C26">
        <v>92.595870206489678</v>
      </c>
      <c r="D26">
        <v>87.286308705092608</v>
      </c>
      <c r="E26">
        <v>86.608015640273706</v>
      </c>
      <c r="F26">
        <v>84.98559676121765</v>
      </c>
      <c r="G26">
        <v>78.736753778146863</v>
      </c>
      <c r="H26">
        <v>66.984575991141782</v>
      </c>
      <c r="I26">
        <v>50.376387338990817</v>
      </c>
      <c r="L26" t="str">
        <f t="shared" si="0"/>
        <v xml:space="preserve">    92.5958702064897, 87.2863087050926, 86.6080156402737, 84.9855967612176, 78.7367537781469, 66.9845759911418, 50.3763873389908,</v>
      </c>
    </row>
    <row r="27" spans="2:12">
      <c r="B27" t="s">
        <v>25</v>
      </c>
      <c r="C27">
        <v>85.191740412979357</v>
      </c>
      <c r="D27">
        <v>84.572271386430685</v>
      </c>
      <c r="E27">
        <v>82.360055017776972</v>
      </c>
      <c r="F27">
        <v>81.595342520264012</v>
      </c>
      <c r="G27">
        <v>73.83878753276413</v>
      </c>
      <c r="H27">
        <v>60.575956539416417</v>
      </c>
      <c r="I27">
        <v>46.676009308038999</v>
      </c>
      <c r="L27" t="str">
        <f t="shared" si="0"/>
        <v xml:space="preserve">    85.1917404129794, 84.5722713864307, 82.360055017777, 81.595342520264, 73.8387875327641, 60.5759565394164, 46.676009308039,</v>
      </c>
    </row>
    <row r="28" spans="2:12">
      <c r="B28" t="s">
        <v>26</v>
      </c>
      <c r="C28">
        <v>85.545722713864308</v>
      </c>
      <c r="D28">
        <v>83.097345132743357</v>
      </c>
      <c r="E28">
        <v>80.324656787688482</v>
      </c>
      <c r="F28">
        <v>76.732411180027512</v>
      </c>
      <c r="G28">
        <v>68.220659348264263</v>
      </c>
      <c r="H28">
        <v>56.148928623950027</v>
      </c>
      <c r="I28">
        <v>46.577306032059099</v>
      </c>
      <c r="L28" t="str">
        <f t="shared" si="0"/>
        <v xml:space="preserve">    85.5457227138643, 83.0973451327434, 80.3246567876885, 76.7324111800275, 68.2206593482643, 56.14892862395, 46.5773060320591,</v>
      </c>
    </row>
    <row r="29" spans="2:12">
      <c r="B29" t="s">
        <v>27</v>
      </c>
      <c r="C29">
        <v>98.259587020648965</v>
      </c>
      <c r="D29">
        <v>97.079646017699105</v>
      </c>
      <c r="E29">
        <v>97.728613569321539</v>
      </c>
      <c r="F29">
        <v>91.032448377581119</v>
      </c>
      <c r="G29">
        <v>87.050147492625371</v>
      </c>
      <c r="H29">
        <v>72.893364129447491</v>
      </c>
      <c r="I29">
        <v>65.203072690940232</v>
      </c>
      <c r="L29" t="str">
        <f t="shared" si="0"/>
        <v xml:space="preserve">    98.259587020649, 97.0796460176991, 97.7286135693215, 91.0324483775811, 87.0501474926254, 72.8933641294475, 65.2030726909402,</v>
      </c>
    </row>
    <row r="30" spans="2:12">
      <c r="B30" t="s">
        <v>28</v>
      </c>
      <c r="C30">
        <v>98.790560471976406</v>
      </c>
      <c r="D30">
        <v>93.421828908554573</v>
      </c>
      <c r="E30">
        <v>92.389380530973455</v>
      </c>
      <c r="F30">
        <v>90.383480825958699</v>
      </c>
      <c r="G30">
        <v>83.777714340089446</v>
      </c>
      <c r="H30">
        <v>78.914956011730197</v>
      </c>
      <c r="I30">
        <v>75.160079239439796</v>
      </c>
      <c r="L30" t="str">
        <f t="shared" si="0"/>
        <v xml:space="preserve">    98.7905604719764, 93.4218289085546, 92.3893805309735, 90.3834808259587, 83.7777143400894, 78.9149560117302, 75.1600792394398,</v>
      </c>
    </row>
    <row r="31" spans="2:12">
      <c r="B31" t="s">
        <v>29</v>
      </c>
      <c r="C31">
        <v>98.17109144542772</v>
      </c>
      <c r="D31">
        <v>97.817109144542769</v>
      </c>
      <c r="E31">
        <v>98.377581120943958</v>
      </c>
      <c r="F31">
        <v>98.55509130701823</v>
      </c>
      <c r="G31">
        <v>97.318229396448061</v>
      </c>
      <c r="H31">
        <v>88.465471154594766</v>
      </c>
      <c r="I31">
        <v>69.62612133322952</v>
      </c>
      <c r="L31" t="str">
        <f t="shared" si="0"/>
        <v xml:space="preserve">    98.1710914454277, 97.8171091445428, 98.377581120944, 98.5550913070182, 97.3182293964481, 88.4654711545948, 69.6261213332295,</v>
      </c>
    </row>
    <row r="32" spans="2:12">
      <c r="B32" t="s">
        <v>32</v>
      </c>
      <c r="C32">
        <f>AVERAGE(C2:C31)</f>
        <v>93.273358766079312</v>
      </c>
      <c r="D32">
        <f t="shared" ref="D32:I32" si="1">AVERAGE(D2:D31)</f>
        <v>91.615587793435353</v>
      </c>
      <c r="E32">
        <f t="shared" si="1"/>
        <v>90.620533049593874</v>
      </c>
      <c r="F32">
        <f t="shared" si="1"/>
        <v>86.597513819323709</v>
      </c>
      <c r="G32">
        <f t="shared" si="1"/>
        <v>78.22435026831262</v>
      </c>
      <c r="H32">
        <f t="shared" si="1"/>
        <v>60.854992978601317</v>
      </c>
      <c r="I32">
        <f t="shared" si="1"/>
        <v>48.743933771053371</v>
      </c>
    </row>
    <row r="34" spans="1:12">
      <c r="C34" t="str">
        <f>""&amp;_xlfn.TEXTJOIN(", ",TRUE,C2:C31)&amp;","</f>
        <v>90.8554572271386, 94.1592920353982, 88.141592920354, 91.2389380530973, 94.9262536873156, 94.6017699115044, 92.3598820058997, 97.2566371681416, 97.5811209439528, 96.6076696165192, 91.9174041297935, 96.6961651917404, 92.0058997050147, 90.3244837758112, 92.7728613569322, 95.3097345132743, 92.2713864306785, 97.1091445427729, 92.0648967551622, 88.9087275841487, 94.5132743362832, 92.0353982300885, 93.3038348082596, 92.6843657817109, 92.5958702064897, 85.1917404129794, 85.5457227138643, 98.259587020649, 98.7905604719764, 98.1710914454277,</v>
      </c>
      <c r="D34" t="str">
        <f t="shared" ref="D34:I34" si="2">""&amp;_xlfn.TEXTJOIN(", ",TRUE,D2:D31)&amp;","</f>
        <v>90.0884955752212, 93.1563421828909, 88.5250737463127, 91.1504424778761, 94.188790560472, 92.6548672566372, 91.622418879056, 97.1681415929203, 97.9351032448378, 96.2241887905605, 91.3864306784661, 95.1327433628319, 87.0796460176991, 88.9675516224189, 87.3156342182891, 93.1268436578171, 91.7121255374181, 95.0442477876106, 92.5663716814159, 81.6519174041298, 93.2155122449156, 90.2654867256637, 93.0383480825959, 91.976401179941, 87.2863087050926, 84.5722713864307, 83.0973451327434, 97.0796460176991, 93.4218289085546, 97.8171091445428,</v>
      </c>
      <c r="E34" t="str">
        <f t="shared" si="2"/>
        <v>87.905604719764, 92.3598820058997, 87.3746312684366, 89.7050147492625, 93.0088495575221, 91.740412979351, 91.6814159292035, 96.3126843657817, 96.3716814159292, 96.6076696165192, 90.6784660766962, 93.834808259587, 85.575221238938, 88.7315634218289, 85.7525584131351, 92.7728613569322, 89.5587332070347, 94.2182890855457, 91.976401179941, 82.2125623924082, 92.0058997050147, 89.9705014749263, 90.353982300885, 90.117994100295, 86.6080156402737, 82.360055017777, 80.3246567876885, 97.7286135693215, 92.3893805309735, 98.377581120944,</v>
      </c>
      <c r="F34" t="str">
        <f t="shared" si="2"/>
        <v>87.5222969056826, 88.2597600325262, 82.5958702064897, 84.6312684365782, 85.722886876184, 90.7966331888684, 90.8259587020649, 90.8259587020649, 91.0619469026549, 90.4719764011799, 88.8200589970502, 91.0326213894584, 83.9611069299907, 85.6935613629876, 80.4545887075148, 91.3569321533923, 80.4212839211412, 90.2654867256637, 84.8381041358489, 81.0327944013357, 90.0626302995701, 77.8804314916219, 82.1245858528188, 83.9823008849557, 84.9855967612176, 81.595342520264, 76.7324111800275, 91.0324483775811, 90.3834808259587, 98.5550913070182,</v>
      </c>
      <c r="G34" t="str">
        <f t="shared" si="2"/>
        <v>80.4545887075148, 82.7751105113366, 71.9140303981868, 81.0340054844765, 72.2276144257303, 78.7103694668639, 84.9881919393766, 87.9658128530524, 80.9819289094196, 80.7771693526761, 77.095217086653, 82.8912014809817, 75.6362079256741, 76.6413204266473, 71.0547669097484, 72.8000242216628, 70.8208548516856, 83.8094620195676, 75.992093357209, 76.3777368316335, 84.1705378074205, 64.7484839834255, 71.8710369466864, 72.0504502634106, 78.7367537781469, 73.8387875327641, 68.2206593482643, 87.0501474926254, 83.7777143400894, 97.3182293964481,</v>
      </c>
      <c r="H34" t="str">
        <f t="shared" si="2"/>
        <v>59.0594209292468, 60.002595178159, 58.2669400254328, 45.8745317866072, 59.6123668889869, 48.1254163098297, 65.6375920206922, 63.1598889263748, 70.2005207657506, 58.0763674426249, 57.5158954662238, 58.8070831062552, 64.0814366906288, 49.3774167596606, 56.5417520912811, 59.4853761710741, 62.5918909333126, 73.0375695291482, 57.9681485133954, 59.9795845984827, 65.8742722687913, 47.4351854254795, 47.0466872550801, 53.9085978252407, 66.9845759911418, 60.5759565394164, 56.14892862395, 72.8933641294475, 78.9149560117302, 88.4654711545948,</v>
      </c>
      <c r="I34" t="str">
        <f t="shared" si="2"/>
        <v>49.2076921080632, 46.4134637842888, 45.4441647419095, 38.1473023123037, 41.1552868104395, 36.7356984056956, 59.7701537210529, 54.0881841538422, 55.5964151939031, 49.9725776174534, 45.3730568603535, 50.4402287217017, 47.2802532893883, 40.8552842152614, 40.1218003615948, 48.7582937568664, 49.9713665343126, 50.5257830950095, 47.580601908321, 49.5861555895812, 50.5157484061281, 35.9364700386681, 35.2939039265046, 39.9291516362598, 50.3763873389908, 46.676009308039, 46.5773060320591, 65.2030726909402, 75.1600792394398, 69.6261213332295,</v>
      </c>
    </row>
    <row r="35" spans="1:12" ht="15" thickBot="1"/>
    <row r="36" spans="1:12" ht="15" thickBot="1">
      <c r="A36" s="4" t="s">
        <v>31</v>
      </c>
      <c r="B36" s="3" t="s">
        <v>30</v>
      </c>
      <c r="C36" s="1">
        <v>1</v>
      </c>
      <c r="D36" s="1">
        <v>0.75</v>
      </c>
      <c r="E36" s="1">
        <v>0.5</v>
      </c>
      <c r="F36" s="1">
        <v>0.3</v>
      </c>
      <c r="G36" s="1">
        <v>0.2</v>
      </c>
      <c r="H36" s="1">
        <v>0.1</v>
      </c>
      <c r="I36" s="2">
        <v>0.05</v>
      </c>
    </row>
    <row r="37" spans="1:12" ht="15" thickBot="1">
      <c r="A37" s="4" t="s">
        <v>50</v>
      </c>
      <c r="B37" t="s">
        <v>33</v>
      </c>
      <c r="C37">
        <f>AVERAGE(C2:C4)</f>
        <v>91.052114060963618</v>
      </c>
      <c r="D37">
        <f t="shared" ref="D37:I37" si="3">AVERAGE(D2:D4)</f>
        <v>90.589970501474923</v>
      </c>
      <c r="E37">
        <f t="shared" si="3"/>
        <v>89.213372664700103</v>
      </c>
      <c r="F37">
        <f t="shared" si="3"/>
        <v>86.125975714899496</v>
      </c>
      <c r="G37">
        <f t="shared" si="3"/>
        <v>78.381243205679411</v>
      </c>
      <c r="H37">
        <f t="shared" si="3"/>
        <v>59.109652044279507</v>
      </c>
      <c r="I37">
        <f t="shared" si="3"/>
        <v>47.021773544753842</v>
      </c>
      <c r="L37" t="str">
        <f t="shared" ref="L37:L47" si="4">"    "&amp;_xlfn.TEXTJOIN(", ",TRUE,C37:I37)&amp;","</f>
        <v xml:space="preserve">    91.0521140609636, 90.5899705014749, 89.2133726647001, 86.1259757148995, 78.3812432056794, 59.1096520442795, 47.0217735447538,</v>
      </c>
    </row>
    <row r="38" spans="1:12">
      <c r="B38" t="s">
        <v>34</v>
      </c>
      <c r="C38">
        <f>AVERAGE(C5:C7)</f>
        <v>93.588987217305814</v>
      </c>
      <c r="D38">
        <f t="shared" ref="D38:I38" si="5">AVERAGE(D5:D7)</f>
        <v>92.664700098328424</v>
      </c>
      <c r="E38">
        <f t="shared" si="5"/>
        <v>91.484759095378578</v>
      </c>
      <c r="F38">
        <f t="shared" si="5"/>
        <v>87.050262833876857</v>
      </c>
      <c r="G38">
        <f t="shared" si="5"/>
        <v>77.323996459023576</v>
      </c>
      <c r="H38">
        <f t="shared" si="5"/>
        <v>51.20410499514125</v>
      </c>
      <c r="I38">
        <f t="shared" si="5"/>
        <v>38.679429176146272</v>
      </c>
      <c r="L38" t="str">
        <f t="shared" si="4"/>
        <v xml:space="preserve">    93.5889872173058, 92.6647000983284, 91.4847590953786, 87.0502628338769, 77.3239964590236, 51.2041049951413, 38.6794291761463,</v>
      </c>
    </row>
    <row r="39" spans="1:12">
      <c r="B39" t="s">
        <v>35</v>
      </c>
      <c r="C39">
        <f>AVERAGE(C8:C10)</f>
        <v>95.732546705998018</v>
      </c>
      <c r="D39">
        <f t="shared" ref="D39:I39" si="6">AVERAGE(D8:D10)</f>
        <v>95.575221238938056</v>
      </c>
      <c r="E39">
        <f t="shared" si="6"/>
        <v>94.788593903638159</v>
      </c>
      <c r="F39">
        <f t="shared" si="6"/>
        <v>90.90462143559489</v>
      </c>
      <c r="G39">
        <f t="shared" si="6"/>
        <v>84.645311233949528</v>
      </c>
      <c r="H39">
        <f t="shared" si="6"/>
        <v>66.332667237605861</v>
      </c>
      <c r="I39">
        <f t="shared" si="6"/>
        <v>56.484917689599399</v>
      </c>
      <c r="L39" t="str">
        <f t="shared" si="4"/>
        <v xml:space="preserve">    95.732546705998, 95.5752212389381, 94.7885939036382, 90.9046214355949, 84.6453112339495, 66.3326672376059, 56.4849176895994,</v>
      </c>
    </row>
    <row r="40" spans="1:12">
      <c r="B40" t="s">
        <v>36</v>
      </c>
      <c r="C40">
        <f>AVERAGE(C11:C13)</f>
        <v>95.073746312684364</v>
      </c>
      <c r="D40">
        <f t="shared" ref="D40:I40" si="7">AVERAGE(D11:D13)</f>
        <v>94.247787610619483</v>
      </c>
      <c r="E40">
        <f t="shared" si="7"/>
        <v>93.706981317600778</v>
      </c>
      <c r="F40">
        <f t="shared" si="7"/>
        <v>90.108218929229494</v>
      </c>
      <c r="G40">
        <f t="shared" si="7"/>
        <v>80.254529306770237</v>
      </c>
      <c r="H40">
        <f t="shared" si="7"/>
        <v>58.133115338367979</v>
      </c>
      <c r="I40">
        <f t="shared" si="7"/>
        <v>48.595287733169549</v>
      </c>
      <c r="L40" t="str">
        <f t="shared" si="4"/>
        <v xml:space="preserve">    95.0737463126844, 94.2477876106195, 93.7069813176008, 90.1082189292295, 80.2545293067702, 58.133115338368, 48.5952877331695,</v>
      </c>
    </row>
    <row r="41" spans="1:12">
      <c r="B41" t="s">
        <v>37</v>
      </c>
      <c r="C41">
        <f>AVERAGE(C14:C16)</f>
        <v>91.701081612586037</v>
      </c>
      <c r="D41">
        <f t="shared" ref="D41:I41" si="8">AVERAGE(D14:D16)</f>
        <v>87.787610619469021</v>
      </c>
      <c r="E41">
        <f t="shared" si="8"/>
        <v>86.686447691300671</v>
      </c>
      <c r="F41">
        <f t="shared" si="8"/>
        <v>83.369752333497686</v>
      </c>
      <c r="G41">
        <f t="shared" si="8"/>
        <v>74.444098420689912</v>
      </c>
      <c r="H41">
        <f t="shared" si="8"/>
        <v>56.666868513856819</v>
      </c>
      <c r="I41">
        <f t="shared" si="8"/>
        <v>42.752445955414835</v>
      </c>
      <c r="L41" t="str">
        <f t="shared" si="4"/>
        <v xml:space="preserve">    91.701081612586, 87.787610619469, 86.6864476913007, 83.3697523334977, 74.4440984206899, 56.6668685138568, 42.7524459554148,</v>
      </c>
    </row>
    <row r="42" spans="1:12">
      <c r="B42" t="s">
        <v>38</v>
      </c>
      <c r="C42">
        <f>AVERAGE(C17:C19)</f>
        <v>94.896755162241888</v>
      </c>
      <c r="D42">
        <f t="shared" ref="D42:I42" si="9">AVERAGE(D17:D19)</f>
        <v>93.294405660948613</v>
      </c>
      <c r="E42">
        <f t="shared" si="9"/>
        <v>92.183294549837512</v>
      </c>
      <c r="F42">
        <f t="shared" si="9"/>
        <v>87.347900933399089</v>
      </c>
      <c r="G42">
        <f t="shared" si="9"/>
        <v>75.81011369763867</v>
      </c>
      <c r="H42">
        <f t="shared" si="9"/>
        <v>65.038278877844959</v>
      </c>
      <c r="I42">
        <f t="shared" si="9"/>
        <v>49.751814462062818</v>
      </c>
      <c r="L42" t="str">
        <f t="shared" si="4"/>
        <v xml:space="preserve">    94.8967551622419, 93.2944056609486, 92.1832945498375, 87.3479009333991, 75.8101136976387, 65.038278877845, 49.7518144620628,</v>
      </c>
    </row>
    <row r="43" spans="1:12">
      <c r="B43" t="s">
        <v>39</v>
      </c>
      <c r="C43">
        <f>AVERAGE(C20:C22)</f>
        <v>91.82896622519803</v>
      </c>
      <c r="D43">
        <f t="shared" ref="D43:I43" si="10">AVERAGE(D20:D22)</f>
        <v>89.144600443487107</v>
      </c>
      <c r="E43">
        <f t="shared" si="10"/>
        <v>88.73162109245466</v>
      </c>
      <c r="F43">
        <f t="shared" si="10"/>
        <v>85.311176278918211</v>
      </c>
      <c r="G43">
        <f t="shared" si="10"/>
        <v>78.846789332087653</v>
      </c>
      <c r="H43">
        <f t="shared" si="10"/>
        <v>61.274001793556465</v>
      </c>
      <c r="I43">
        <f t="shared" si="10"/>
        <v>49.227501968010102</v>
      </c>
      <c r="L43" t="str">
        <f t="shared" si="4"/>
        <v xml:space="preserve">    91.828966225198, 89.1446004434871, 88.7316210924547, 85.3111762789182, 78.8467893320877, 61.2740017935565, 49.2275019680101,</v>
      </c>
    </row>
    <row r="44" spans="1:12">
      <c r="B44" t="s">
        <v>40</v>
      </c>
      <c r="C44">
        <f>AVERAGE(C23:C25)</f>
        <v>92.67453294001966</v>
      </c>
      <c r="D44">
        <f t="shared" ref="D44:I44" si="11">AVERAGE(D23:D25)</f>
        <v>91.760078662733534</v>
      </c>
      <c r="E44">
        <f t="shared" si="11"/>
        <v>90.147492625368727</v>
      </c>
      <c r="F44">
        <f t="shared" si="11"/>
        <v>81.329106076465493</v>
      </c>
      <c r="G44">
        <f t="shared" si="11"/>
        <v>69.556657064507476</v>
      </c>
      <c r="H44">
        <f t="shared" si="11"/>
        <v>49.463490168600082</v>
      </c>
      <c r="I44">
        <f t="shared" si="11"/>
        <v>37.053175200477504</v>
      </c>
      <c r="L44" t="str">
        <f t="shared" si="4"/>
        <v xml:space="preserve">    92.6745329400197, 91.7600786627335, 90.1474926253687, 81.3291060764655, 69.5566570645075, 49.4634901686001, 37.0531752004775,</v>
      </c>
    </row>
    <row r="45" spans="1:12">
      <c r="B45" t="s">
        <v>41</v>
      </c>
      <c r="C45">
        <f>AVERAGE(C26:C28)</f>
        <v>87.777777777777786</v>
      </c>
      <c r="D45">
        <f t="shared" ref="D45:I45" si="12">AVERAGE(D26:D28)</f>
        <v>84.985308408088883</v>
      </c>
      <c r="E45">
        <f t="shared" si="12"/>
        <v>83.097575815246387</v>
      </c>
      <c r="F45">
        <f t="shared" si="12"/>
        <v>81.104450153836396</v>
      </c>
      <c r="G45">
        <f t="shared" si="12"/>
        <v>73.598733553058409</v>
      </c>
      <c r="H45">
        <f t="shared" si="12"/>
        <v>61.236487051502742</v>
      </c>
      <c r="I45">
        <f t="shared" si="12"/>
        <v>47.876567559696298</v>
      </c>
      <c r="L45" t="str">
        <f t="shared" si="4"/>
        <v xml:space="preserve">    87.7777777777778, 84.9853084080889, 83.0975758152464, 81.1044501538364, 73.5987335530584, 61.2364870515027, 47.8765675596963,</v>
      </c>
    </row>
    <row r="46" spans="1:12">
      <c r="B46" t="s">
        <v>42</v>
      </c>
      <c r="C46">
        <f>AVERAGE(C29:C31)</f>
        <v>98.407079646017692</v>
      </c>
      <c r="D46">
        <f t="shared" ref="D46:I46" si="13">AVERAGE(D29:D31)</f>
        <v>96.106194690265468</v>
      </c>
      <c r="E46">
        <f t="shared" si="13"/>
        <v>96.165191740412979</v>
      </c>
      <c r="F46">
        <f t="shared" si="13"/>
        <v>93.323673503519345</v>
      </c>
      <c r="G46">
        <f t="shared" si="13"/>
        <v>89.38203040972094</v>
      </c>
      <c r="H46">
        <f t="shared" si="13"/>
        <v>80.091263765257494</v>
      </c>
      <c r="I46">
        <f t="shared" si="13"/>
        <v>69.996424421203173</v>
      </c>
      <c r="L46" t="str">
        <f t="shared" si="4"/>
        <v xml:space="preserve">    98.4070796460177, 96.1061946902655, 96.165191740413, 93.3236735035193, 89.3820304097209, 80.0912637652575, 69.9964244212032,</v>
      </c>
    </row>
    <row r="47" spans="1:12">
      <c r="B47" t="s">
        <v>32</v>
      </c>
      <c r="C47">
        <f>AVERAGE(C37:C46)</f>
        <v>93.273358766079298</v>
      </c>
      <c r="D47">
        <f t="shared" ref="D47:I47" si="14">AVERAGE(D37:D46)</f>
        <v>91.615587793435367</v>
      </c>
      <c r="E47">
        <f t="shared" si="14"/>
        <v>90.62053304959386</v>
      </c>
      <c r="F47">
        <f t="shared" si="14"/>
        <v>86.597513819323694</v>
      </c>
      <c r="G47">
        <f t="shared" si="14"/>
        <v>78.224350268312577</v>
      </c>
      <c r="H47">
        <f t="shared" si="14"/>
        <v>60.85499297860131</v>
      </c>
      <c r="I47">
        <f t="shared" si="14"/>
        <v>48.743933771053378</v>
      </c>
      <c r="L47" t="str">
        <f t="shared" si="4"/>
        <v xml:space="preserve">    93.2733587660793, 91.6155877934354, 90.6205330495939, 86.5975138193237, 78.2243502683126, 60.8549929786013, 48.7439337710534,</v>
      </c>
    </row>
    <row r="49" spans="1:9">
      <c r="B49" t="s">
        <v>52</v>
      </c>
      <c r="C49">
        <f>_xlfn.STDEV.P(C37:C46)</f>
        <v>2.8005603718134133</v>
      </c>
      <c r="D49">
        <f t="shared" ref="D49:I49" si="15">_xlfn.STDEV.P(D37:D46)</f>
        <v>3.3538686640860944</v>
      </c>
      <c r="E49">
        <f t="shared" si="15"/>
        <v>3.7239094173513214</v>
      </c>
      <c r="F49">
        <f t="shared" si="15"/>
        <v>3.835503072799908</v>
      </c>
      <c r="G49">
        <f t="shared" si="15"/>
        <v>5.3638694360934682</v>
      </c>
      <c r="H49">
        <f t="shared" si="15"/>
        <v>8.1777821604148073</v>
      </c>
      <c r="I49">
        <f t="shared" si="15"/>
        <v>8.8907093256156013</v>
      </c>
    </row>
    <row r="51" spans="1:9" ht="15" thickBot="1"/>
    <row r="52" spans="1:9" ht="15" thickBot="1">
      <c r="A52" s="4" t="s">
        <v>31</v>
      </c>
      <c r="B52" s="3" t="s">
        <v>30</v>
      </c>
      <c r="C52" s="1">
        <v>1</v>
      </c>
      <c r="D52" s="1">
        <v>0.75</v>
      </c>
      <c r="E52" s="1">
        <v>0.5</v>
      </c>
      <c r="F52" s="1">
        <v>0.3</v>
      </c>
      <c r="G52" s="1">
        <v>0.2</v>
      </c>
      <c r="H52" s="1">
        <v>0.1</v>
      </c>
      <c r="I52" s="2">
        <v>0.05</v>
      </c>
    </row>
    <row r="53" spans="1:9" ht="15" thickBot="1">
      <c r="A53" s="4" t="s">
        <v>51</v>
      </c>
      <c r="B53" t="s">
        <v>33</v>
      </c>
      <c r="C53">
        <f>_xlfn.STDEV.P(C2:C4)</f>
        <v>2.4606477592317897</v>
      </c>
      <c r="D53">
        <f t="shared" ref="D53:I53" si="16">_xlfn.STDEV.P(D2:D4)</f>
        <v>1.9236717771243541</v>
      </c>
      <c r="E53">
        <f t="shared" si="16"/>
        <v>2.235452821718821</v>
      </c>
      <c r="F53">
        <f t="shared" si="16"/>
        <v>2.5142522601153221</v>
      </c>
      <c r="G53">
        <f t="shared" si="16"/>
        <v>4.6701061004042907</v>
      </c>
      <c r="H53">
        <f t="shared" si="16"/>
        <v>0.70946791141171206</v>
      </c>
      <c r="I53">
        <f t="shared" si="16"/>
        <v>1.5955281534034895</v>
      </c>
    </row>
    <row r="54" spans="1:9">
      <c r="B54" t="s">
        <v>34</v>
      </c>
      <c r="C54">
        <f>_xlfn.STDEV.P(C5:C7)</f>
        <v>1.6670074456620014</v>
      </c>
      <c r="D54">
        <f t="shared" ref="D54:I54" si="17">_xlfn.STDEV.P(D5:D7)</f>
        <v>1.2404198970067295</v>
      </c>
      <c r="E54">
        <f t="shared" si="17"/>
        <v>1.3608453968911032</v>
      </c>
      <c r="F54">
        <f t="shared" si="17"/>
        <v>2.6863079783712376</v>
      </c>
      <c r="G54">
        <f t="shared" si="17"/>
        <v>3.7264508098674245</v>
      </c>
      <c r="H54">
        <f t="shared" si="17"/>
        <v>6.0161322758531384</v>
      </c>
      <c r="I54">
        <f t="shared" si="17"/>
        <v>1.843106013636405</v>
      </c>
    </row>
    <row r="55" spans="1:9">
      <c r="B55" t="s">
        <v>35</v>
      </c>
      <c r="C55">
        <f>_xlfn.STDEV.P(C8:C10)</f>
        <v>2.3885103885976298</v>
      </c>
      <c r="D55">
        <f t="shared" ref="D55:I55" si="18">_xlfn.STDEV.P(D8:D10)</f>
        <v>2.8125365083372174</v>
      </c>
      <c r="E55">
        <f t="shared" si="18"/>
        <v>2.1972386286109518</v>
      </c>
      <c r="F55">
        <f t="shared" si="18"/>
        <v>0.11124590461144694</v>
      </c>
      <c r="G55">
        <f t="shared" si="18"/>
        <v>2.8614488309419306</v>
      </c>
      <c r="H55">
        <f t="shared" si="18"/>
        <v>2.9160442774740378</v>
      </c>
      <c r="I55">
        <f t="shared" si="18"/>
        <v>2.4032300561704236</v>
      </c>
    </row>
    <row r="56" spans="1:9">
      <c r="B56" t="s">
        <v>36</v>
      </c>
      <c r="C56">
        <f>_xlfn.STDEV.P(C11:C13)</f>
        <v>2.2321633524947018</v>
      </c>
      <c r="D56">
        <f t="shared" ref="D56:I56" si="19">_xlfn.STDEV.P(D11:D13)</f>
        <v>2.0717683107777143</v>
      </c>
      <c r="E56">
        <f t="shared" si="19"/>
        <v>2.4222741999321742</v>
      </c>
      <c r="F56">
        <f t="shared" si="19"/>
        <v>0.93918322985973468</v>
      </c>
      <c r="G56">
        <f t="shared" si="19"/>
        <v>2.39488666927598</v>
      </c>
      <c r="H56">
        <f t="shared" si="19"/>
        <v>0.52865024555999707</v>
      </c>
      <c r="I56">
        <f t="shared" si="19"/>
        <v>2.2864460394715951</v>
      </c>
    </row>
    <row r="57" spans="1:9">
      <c r="B57" t="s">
        <v>37</v>
      </c>
      <c r="C57">
        <f>_xlfn.STDEV.P(C14:C16)</f>
        <v>1.0225209849640715</v>
      </c>
      <c r="D57">
        <f t="shared" ref="D57:I57" si="20">_xlfn.STDEV.P(D14:D16)</f>
        <v>0.83988816141839506</v>
      </c>
      <c r="E57">
        <f t="shared" si="20"/>
        <v>1.4479263060847982</v>
      </c>
      <c r="F57">
        <f t="shared" si="20"/>
        <v>2.1792940470548405</v>
      </c>
      <c r="G57">
        <f t="shared" si="20"/>
        <v>2.431493211067254</v>
      </c>
      <c r="H57">
        <f t="shared" si="20"/>
        <v>6.0035429052061398</v>
      </c>
      <c r="I57">
        <f t="shared" si="20"/>
        <v>3.2156159680622496</v>
      </c>
    </row>
    <row r="58" spans="1:9">
      <c r="B58" t="s">
        <v>38</v>
      </c>
      <c r="C58">
        <f>_xlfn.STDEV.P(C17:C19)</f>
        <v>1.9964785408427113</v>
      </c>
      <c r="D58">
        <f t="shared" ref="D58:I58" si="21">_xlfn.STDEV.P(D17:D19)</f>
        <v>1.3654834165298477</v>
      </c>
      <c r="E58">
        <f t="shared" si="21"/>
        <v>1.9474011761426342</v>
      </c>
      <c r="F58">
        <f t="shared" si="21"/>
        <v>4.9180843632660318</v>
      </c>
      <c r="G58">
        <f t="shared" si="21"/>
        <v>5.7138112225510085</v>
      </c>
      <c r="H58">
        <f t="shared" si="21"/>
        <v>5.7967862754588166</v>
      </c>
      <c r="I58">
        <f t="shared" si="21"/>
        <v>0.73808625260838145</v>
      </c>
    </row>
    <row r="59" spans="1:9">
      <c r="B59" t="s">
        <v>39</v>
      </c>
      <c r="C59">
        <f>_xlfn.STDEV.P(C20:C22)</f>
        <v>2.2941205265405951</v>
      </c>
      <c r="D59">
        <f t="shared" ref="D59:I59" si="22">_xlfn.STDEV.P(D20:D22)</f>
        <v>5.3047507144696775</v>
      </c>
      <c r="E59">
        <f t="shared" si="22"/>
        <v>4.6096863444804033</v>
      </c>
      <c r="F59">
        <f t="shared" si="22"/>
        <v>3.7015611145093756</v>
      </c>
      <c r="G59">
        <f t="shared" si="22"/>
        <v>3.7677494249483652</v>
      </c>
      <c r="H59">
        <f t="shared" si="22"/>
        <v>3.354930214384547</v>
      </c>
      <c r="I59">
        <f t="shared" si="22"/>
        <v>1.2248117014727453</v>
      </c>
    </row>
    <row r="60" spans="1:9">
      <c r="B60" t="s">
        <v>40</v>
      </c>
      <c r="C60">
        <f>_xlfn.STDEV.P(C23:C25)</f>
        <v>0.51788373971538004</v>
      </c>
      <c r="D60">
        <f t="shared" ref="D60:I60" si="23">_xlfn.STDEV.P(D23:D25)</f>
        <v>1.1423036956898807</v>
      </c>
      <c r="E60">
        <f t="shared" si="23"/>
        <v>0.1579388240335193</v>
      </c>
      <c r="F60">
        <f t="shared" si="23"/>
        <v>2.5537937242811157</v>
      </c>
      <c r="G60">
        <f t="shared" si="23"/>
        <v>3.4006806738049566</v>
      </c>
      <c r="H60">
        <f t="shared" si="23"/>
        <v>3.1471647839968298</v>
      </c>
      <c r="I60">
        <f t="shared" si="23"/>
        <v>2.0504720020045122</v>
      </c>
    </row>
    <row r="61" spans="1:9">
      <c r="B61" t="s">
        <v>41</v>
      </c>
      <c r="C61">
        <f>_xlfn.STDEV.P(C26:C28)</f>
        <v>3.4099693895051444</v>
      </c>
      <c r="D61">
        <f t="shared" ref="D61:I61" si="24">_xlfn.STDEV.P(D26:D28)</f>
        <v>1.7348974299292081</v>
      </c>
      <c r="E61">
        <f t="shared" si="24"/>
        <v>2.6176455467480966</v>
      </c>
      <c r="F61">
        <f t="shared" si="24"/>
        <v>3.3871816746821519</v>
      </c>
      <c r="G61">
        <f t="shared" si="24"/>
        <v>4.2965319308663643</v>
      </c>
      <c r="H61">
        <f t="shared" si="24"/>
        <v>4.4482235318967627</v>
      </c>
      <c r="I61">
        <f t="shared" si="24"/>
        <v>1.7680987492947216</v>
      </c>
    </row>
    <row r="62" spans="1:9">
      <c r="B62" t="s">
        <v>42</v>
      </c>
      <c r="C62">
        <f>_xlfn.STDEV.P(C29:C31)</f>
        <v>0.27355806771374258</v>
      </c>
      <c r="D62">
        <f t="shared" ref="D62:I62" si="25">_xlfn.STDEV.P(D29:D31)</f>
        <v>1.9218615460673927</v>
      </c>
      <c r="E62">
        <f t="shared" si="25"/>
        <v>2.6830147766721426</v>
      </c>
      <c r="F62">
        <f t="shared" si="25"/>
        <v>3.7086465542781228</v>
      </c>
      <c r="G62">
        <f t="shared" si="25"/>
        <v>5.768572639867986</v>
      </c>
      <c r="H62">
        <f t="shared" si="25"/>
        <v>6.4114691113616384</v>
      </c>
      <c r="I62">
        <f t="shared" si="25"/>
        <v>4.0733555483113202</v>
      </c>
    </row>
    <row r="63" spans="1:9">
      <c r="B63" t="s">
        <v>32</v>
      </c>
      <c r="C63">
        <f>AVERAGE(C53:C62)</f>
        <v>1.8262860195267769</v>
      </c>
      <c r="D63">
        <f t="shared" ref="D63:I63" si="26">AVERAGE(D53:D62)</f>
        <v>2.0357581457350418</v>
      </c>
      <c r="E63">
        <f t="shared" si="26"/>
        <v>2.1679424021314642</v>
      </c>
      <c r="F63">
        <f t="shared" si="26"/>
        <v>2.6699550851029383</v>
      </c>
      <c r="G63">
        <f t="shared" si="26"/>
        <v>3.9031731513595558</v>
      </c>
      <c r="H63">
        <f t="shared" si="26"/>
        <v>3.9332411532603624</v>
      </c>
      <c r="I63">
        <f t="shared" si="26"/>
        <v>2.1198750484435847</v>
      </c>
    </row>
    <row r="66" spans="3:9">
      <c r="C66">
        <f>C49/C63</f>
        <v>1.5334730386531066</v>
      </c>
      <c r="D66">
        <f t="shared" ref="D66:I66" si="27">D49/D63</f>
        <v>1.6474789360968656</v>
      </c>
      <c r="E66">
        <f t="shared" si="27"/>
        <v>1.7177160305043488</v>
      </c>
      <c r="F66">
        <f t="shared" si="27"/>
        <v>1.4365421703908674</v>
      </c>
      <c r="G66">
        <f t="shared" si="27"/>
        <v>1.3742330222334926</v>
      </c>
      <c r="H66">
        <f t="shared" si="27"/>
        <v>2.0791458854832836</v>
      </c>
      <c r="I66">
        <f t="shared" si="27"/>
        <v>4.1939780045730402</v>
      </c>
    </row>
  </sheetData>
  <phoneticPr fontId="1" type="noConversion"/>
  <conditionalFormatting sqref="C37:I4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8D65-54D9-418A-804E-52605BF63D6D}">
  <dimension ref="A1:L49"/>
  <sheetViews>
    <sheetView workbookViewId="0"/>
  </sheetViews>
  <sheetFormatPr defaultRowHeight="14.25"/>
  <sheetData>
    <row r="1" spans="1:12" ht="15" thickBot="1">
      <c r="A1" s="4" t="s">
        <v>43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89.73451327433628</v>
      </c>
      <c r="D2">
        <v>90.088495575221231</v>
      </c>
      <c r="E2">
        <v>89.321533923303832</v>
      </c>
      <c r="F2">
        <v>86.991150442477874</v>
      </c>
      <c r="G2">
        <v>85.78171091445428</v>
      </c>
      <c r="H2">
        <v>63.390686770646802</v>
      </c>
      <c r="I2">
        <v>48.839868856997029</v>
      </c>
      <c r="L2" t="str">
        <f t="shared" ref="L2:L31" si="0">"    "&amp;_xlfn.TEXTJOIN(", ",TRUE,C2:I2)&amp;","</f>
        <v xml:space="preserve">    89.7345132743363, 90.0884955752212, 89.3215339233038, 86.9911504424779, 85.7817109144543, 63.3906867706468, 48.839868856997,</v>
      </c>
    </row>
    <row r="3" spans="1:12">
      <c r="B3" t="s">
        <v>1</v>
      </c>
      <c r="C3">
        <v>94.188790560471972</v>
      </c>
      <c r="D3">
        <v>94.572271386430685</v>
      </c>
      <c r="E3">
        <v>93.657817109144545</v>
      </c>
      <c r="F3">
        <v>91.946902654867259</v>
      </c>
      <c r="G3">
        <v>85.913545964930492</v>
      </c>
      <c r="H3">
        <v>65.322450886253336</v>
      </c>
      <c r="I3">
        <v>46.79158124205226</v>
      </c>
      <c r="L3" t="str">
        <f t="shared" si="0"/>
        <v xml:space="preserve">    94.188790560472, 94.5722713864307, 93.6578171091445, 91.9469026548673, 85.9135459649305, 65.3224508862533, 46.7915812420523,</v>
      </c>
    </row>
    <row r="4" spans="1:12">
      <c r="B4" t="s">
        <v>2</v>
      </c>
      <c r="C4">
        <v>87.43362831858407</v>
      </c>
      <c r="D4">
        <v>89.528023598820056</v>
      </c>
      <c r="E4">
        <v>88.879056047197636</v>
      </c>
      <c r="F4">
        <v>88.34808259587021</v>
      </c>
      <c r="G4">
        <v>81.593093365859573</v>
      </c>
      <c r="H4">
        <v>59.057863822351393</v>
      </c>
      <c r="I4">
        <v>47.523681000700698</v>
      </c>
      <c r="L4" t="str">
        <f t="shared" si="0"/>
        <v xml:space="preserve">    87.4336283185841, 89.5280235988201, 88.8790560471976, 88.3480825958702, 81.5930933658596, 59.0578638223514, 47.5236810007007,</v>
      </c>
    </row>
    <row r="5" spans="1:12">
      <c r="B5" t="s">
        <v>3</v>
      </c>
      <c r="C5">
        <v>92.212389380530979</v>
      </c>
      <c r="D5">
        <v>92.890855457227147</v>
      </c>
      <c r="E5">
        <v>90.471976401179944</v>
      </c>
      <c r="F5">
        <v>90.471976401179944</v>
      </c>
      <c r="G5">
        <v>85.103244837758112</v>
      </c>
      <c r="H5">
        <v>55.803942940682873</v>
      </c>
      <c r="I5">
        <v>43.396482668535199</v>
      </c>
      <c r="L5" t="str">
        <f t="shared" si="0"/>
        <v xml:space="preserve">    92.212389380531, 92.8908554572271, 90.4719764011799, 90.4719764011799, 85.1032448377581, 55.8039429406829, 43.3964826685352,</v>
      </c>
    </row>
    <row r="6" spans="1:12">
      <c r="B6" t="s">
        <v>4</v>
      </c>
      <c r="C6">
        <v>95.988200589970504</v>
      </c>
      <c r="D6">
        <v>95.250737463126853</v>
      </c>
      <c r="E6">
        <v>92.949852507374629</v>
      </c>
      <c r="F6">
        <v>91.740412979351035</v>
      </c>
      <c r="G6">
        <v>79.056047197640126</v>
      </c>
      <c r="H6">
        <v>64.285504199863311</v>
      </c>
      <c r="I6">
        <v>58.374466907153177</v>
      </c>
      <c r="L6" t="str">
        <f t="shared" si="0"/>
        <v xml:space="preserve">    95.9882005899705, 95.2507374631269, 92.9498525073746, 91.740412979351, 79.0560471976401, 64.2855041998633, 58.3744669071532,</v>
      </c>
    </row>
    <row r="7" spans="1:12">
      <c r="B7" t="s">
        <v>5</v>
      </c>
      <c r="C7">
        <v>94.454277286135692</v>
      </c>
      <c r="D7">
        <v>92.655213280391692</v>
      </c>
      <c r="E7">
        <v>92.802359882005902</v>
      </c>
      <c r="F7">
        <v>93.510324483775804</v>
      </c>
      <c r="G7">
        <v>87.138643067846616</v>
      </c>
      <c r="H7">
        <v>52.506509571882113</v>
      </c>
      <c r="I7">
        <v>43.056168305954202</v>
      </c>
      <c r="L7" t="str">
        <f t="shared" si="0"/>
        <v xml:space="preserve">    94.4542772861357, 92.6552132803917, 92.8023598820059, 93.5103244837758, 87.1386430678466, 52.5065095718821, 43.0561683059542,</v>
      </c>
    </row>
    <row r="8" spans="1:12">
      <c r="B8" t="s">
        <v>6</v>
      </c>
      <c r="C8">
        <v>93.067846607669622</v>
      </c>
      <c r="D8">
        <v>93.392330383480825</v>
      </c>
      <c r="E8">
        <v>93.274336283185832</v>
      </c>
      <c r="F8">
        <v>91.002949852507371</v>
      </c>
      <c r="G8">
        <v>87.846607669616517</v>
      </c>
      <c r="H8">
        <v>66.934662064550736</v>
      </c>
      <c r="I8">
        <v>62.896305331360999</v>
      </c>
      <c r="L8" t="str">
        <f t="shared" si="0"/>
        <v xml:space="preserve">    93.0678466076696, 93.3923303834808, 93.2743362831858, 91.0029498525074, 87.8466076696165, 66.9346620645507, 62.896305331361,</v>
      </c>
    </row>
    <row r="9" spans="1:12">
      <c r="B9" t="s">
        <v>7</v>
      </c>
      <c r="C9">
        <v>97.787610619469021</v>
      </c>
      <c r="D9">
        <v>97.551622418879063</v>
      </c>
      <c r="E9">
        <v>97.964601769911496</v>
      </c>
      <c r="F9">
        <v>95.87020648967551</v>
      </c>
      <c r="G9">
        <v>91.093348558378537</v>
      </c>
      <c r="H9">
        <v>65.195633180217811</v>
      </c>
      <c r="I9">
        <v>57.828960458135462</v>
      </c>
      <c r="L9" t="str">
        <f t="shared" si="0"/>
        <v xml:space="preserve">    97.787610619469, 97.5516224188791, 97.9646017699115, 95.8702064896755, 91.0933485583785, 65.1956331802178, 57.8289604581355,</v>
      </c>
    </row>
    <row r="10" spans="1:12">
      <c r="B10" t="s">
        <v>8</v>
      </c>
      <c r="C10">
        <v>97.787610619469021</v>
      </c>
      <c r="D10">
        <v>98.08259587020649</v>
      </c>
      <c r="E10">
        <v>97.227138643067846</v>
      </c>
      <c r="F10">
        <v>94.424778761061958</v>
      </c>
      <c r="G10">
        <v>93.21533923303835</v>
      </c>
      <c r="H10">
        <v>72.112734539226125</v>
      </c>
      <c r="I10">
        <v>57.980778380435808</v>
      </c>
      <c r="L10" t="str">
        <f t="shared" si="0"/>
        <v xml:space="preserve">    97.787610619469, 98.0825958702065, 97.2271386430678, 94.424778761062, 93.2153392330383, 72.1127345392261, 57.9807783804358,</v>
      </c>
    </row>
    <row r="11" spans="1:12">
      <c r="B11" t="s">
        <v>9</v>
      </c>
      <c r="C11">
        <v>95.398230088495581</v>
      </c>
      <c r="D11">
        <v>96.371681415929203</v>
      </c>
      <c r="E11">
        <v>96.843657817109147</v>
      </c>
      <c r="F11">
        <v>92.831858407079636</v>
      </c>
      <c r="G11">
        <v>91.150442477876112</v>
      </c>
      <c r="H11">
        <v>62.116800318341838</v>
      </c>
      <c r="I11">
        <v>43.453749599910033</v>
      </c>
      <c r="L11" t="str">
        <f t="shared" si="0"/>
        <v xml:space="preserve">    95.3982300884956, 96.3716814159292, 96.8436578171091, 92.8318584070796, 91.1504424778761, 62.1168003183418, 43.45374959991,</v>
      </c>
    </row>
    <row r="12" spans="1:12">
      <c r="B12" t="s">
        <v>10</v>
      </c>
      <c r="C12">
        <v>91.740412979351021</v>
      </c>
      <c r="D12">
        <v>91.032448377581119</v>
      </c>
      <c r="E12">
        <v>89.262536873156336</v>
      </c>
      <c r="F12">
        <v>89.144542772861357</v>
      </c>
      <c r="G12">
        <v>85.899705014749259</v>
      </c>
      <c r="H12">
        <v>62.890595939411241</v>
      </c>
      <c r="I12">
        <v>46.226783968719452</v>
      </c>
      <c r="L12" t="str">
        <f t="shared" si="0"/>
        <v xml:space="preserve">    91.740412979351, 91.0324483775811, 89.2625368731563, 89.1445427728614, 85.8997050147493, 62.8905959394112, 46.2267839687195,</v>
      </c>
    </row>
    <row r="13" spans="1:12">
      <c r="B13" t="s">
        <v>11</v>
      </c>
      <c r="C13">
        <v>94.896755162241888</v>
      </c>
      <c r="D13">
        <v>95.221238938053105</v>
      </c>
      <c r="E13">
        <v>94.306784660766965</v>
      </c>
      <c r="F13">
        <v>93.48082595870207</v>
      </c>
      <c r="G13">
        <v>89.911850448533286</v>
      </c>
      <c r="H13">
        <v>62.904436889592468</v>
      </c>
      <c r="I13">
        <v>50.178202233583328</v>
      </c>
      <c r="L13" t="str">
        <f t="shared" si="0"/>
        <v xml:space="preserve">    94.8967551622419, 95.2212389380531, 94.306784660767, 93.4808259587021, 89.9118504485333, 62.9044368895925, 50.1782022335833,</v>
      </c>
    </row>
    <row r="14" spans="1:12">
      <c r="B14" t="s">
        <v>12</v>
      </c>
      <c r="C14">
        <v>90.294985250737469</v>
      </c>
      <c r="D14">
        <v>88.259587020648979</v>
      </c>
      <c r="E14">
        <v>86.25368731563421</v>
      </c>
      <c r="F14">
        <v>87.463126843657818</v>
      </c>
      <c r="G14">
        <v>84.749262536873147</v>
      </c>
      <c r="H14">
        <v>69.757177830258044</v>
      </c>
      <c r="I14">
        <v>54.556700317476803</v>
      </c>
      <c r="L14" t="str">
        <f t="shared" si="0"/>
        <v xml:space="preserve">    90.2949852507375, 88.259587020649, 86.2536873156342, 87.4631268436578, 84.7492625368731, 69.757177830258, 54.5567003174768,</v>
      </c>
    </row>
    <row r="15" spans="1:12">
      <c r="B15" t="s">
        <v>13</v>
      </c>
      <c r="C15">
        <v>94.365781710914462</v>
      </c>
      <c r="D15">
        <v>93.333333333333343</v>
      </c>
      <c r="E15">
        <v>91.858407079646014</v>
      </c>
      <c r="F15">
        <v>90.973451327433622</v>
      </c>
      <c r="G15">
        <v>84.415868649382773</v>
      </c>
      <c r="H15">
        <v>58.451716710352159</v>
      </c>
      <c r="I15">
        <v>44.222268358722822</v>
      </c>
      <c r="L15" t="str">
        <f t="shared" si="0"/>
        <v xml:space="preserve">    94.3657817109145, 93.3333333333333, 91.858407079646, 90.9734513274336, 84.4158686493828, 58.4517167103522, 44.2222683587228,</v>
      </c>
    </row>
    <row r="16" spans="1:12">
      <c r="B16" t="s">
        <v>14</v>
      </c>
      <c r="C16">
        <v>92.389380530973455</v>
      </c>
      <c r="D16">
        <v>87.315634218289091</v>
      </c>
      <c r="E16">
        <v>87.463126843657818</v>
      </c>
      <c r="F16">
        <v>85.516224188790559</v>
      </c>
      <c r="G16">
        <v>77.592366715975047</v>
      </c>
      <c r="H16">
        <v>57.949549736589418</v>
      </c>
      <c r="I16">
        <v>39.848009065822367</v>
      </c>
      <c r="L16" t="str">
        <f t="shared" si="0"/>
        <v xml:space="preserve">    92.3893805309735, 87.3156342182891, 87.4631268436578, 85.5162241887906, 77.592366715975, 57.9495497365894, 39.8480090658224,</v>
      </c>
    </row>
    <row r="17" spans="2:12">
      <c r="B17" t="s">
        <v>15</v>
      </c>
      <c r="C17">
        <v>95.103244837758112</v>
      </c>
      <c r="D17">
        <v>94.454277286135692</v>
      </c>
      <c r="E17">
        <v>92.595870206489678</v>
      </c>
      <c r="F17">
        <v>91.976401179941007</v>
      </c>
      <c r="G17">
        <v>87.315634218289091</v>
      </c>
      <c r="H17">
        <v>66.656891495601172</v>
      </c>
      <c r="I17">
        <v>47.783458334414661</v>
      </c>
      <c r="L17" t="str">
        <f t="shared" si="0"/>
        <v xml:space="preserve">    95.1032448377581, 94.4542772861357, 92.5958702064897, 91.976401179941, 87.3156342182891, 66.6568914956012, 47.7834583344147,</v>
      </c>
    </row>
    <row r="18" spans="2:12">
      <c r="B18" t="s">
        <v>16</v>
      </c>
      <c r="C18">
        <v>93.569321533923301</v>
      </c>
      <c r="D18">
        <v>94.454969333644755</v>
      </c>
      <c r="E18">
        <v>93.628491595948063</v>
      </c>
      <c r="F18">
        <v>90.501820950008224</v>
      </c>
      <c r="G18">
        <v>85.605238799643601</v>
      </c>
      <c r="H18">
        <v>64.292251663076669</v>
      </c>
      <c r="I18">
        <v>57.669616519174042</v>
      </c>
      <c r="L18" t="str">
        <f t="shared" si="0"/>
        <v xml:space="preserve">    93.5693215339233, 94.4549693336448, 93.6284915959481, 90.5018209500082, 85.6052387996436, 64.2922516630767, 57.669616519174,</v>
      </c>
    </row>
    <row r="19" spans="2:12">
      <c r="B19" t="s">
        <v>17</v>
      </c>
      <c r="C19">
        <v>97.345132743362825</v>
      </c>
      <c r="D19">
        <v>96.076696165191748</v>
      </c>
      <c r="E19">
        <v>95.162241887905594</v>
      </c>
      <c r="F19">
        <v>94.365781710914462</v>
      </c>
      <c r="G19">
        <v>87.385704028581557</v>
      </c>
      <c r="H19">
        <v>72.327701796728348</v>
      </c>
      <c r="I19">
        <v>56.878519710378121</v>
      </c>
      <c r="L19" t="str">
        <f t="shared" si="0"/>
        <v xml:space="preserve">    97.3451327433628, 96.0766961651917, 95.1622418879056, 94.3657817109145, 87.3857040285816, 72.3277017967283, 56.8785197103781,</v>
      </c>
    </row>
    <row r="20" spans="2:12">
      <c r="B20" t="s">
        <v>18</v>
      </c>
      <c r="C20">
        <v>93.21533923303835</v>
      </c>
      <c r="D20">
        <v>93.628318584070797</v>
      </c>
      <c r="E20">
        <v>93.952802359882</v>
      </c>
      <c r="F20">
        <v>93.185840707964601</v>
      </c>
      <c r="G20">
        <v>88.083460929592817</v>
      </c>
      <c r="H20">
        <v>62.534883519753627</v>
      </c>
      <c r="I20">
        <v>51.428645576518832</v>
      </c>
      <c r="L20" t="str">
        <f t="shared" si="0"/>
        <v xml:space="preserve">    93.2153392330383, 93.6283185840708, 93.952802359882, 93.1858407079646, 88.0834609295928, 62.5348835197536, 51.4286455765188,</v>
      </c>
    </row>
    <row r="21" spans="2:12">
      <c r="B21" t="s">
        <v>19</v>
      </c>
      <c r="C21">
        <v>87.227138643067846</v>
      </c>
      <c r="D21">
        <v>84.896755162241888</v>
      </c>
      <c r="E21">
        <v>85.044247787610615</v>
      </c>
      <c r="F21">
        <v>85.693215339233035</v>
      </c>
      <c r="G21">
        <v>70.936080761944311</v>
      </c>
      <c r="H21">
        <v>60.836944956271253</v>
      </c>
      <c r="I21">
        <v>42.41239111064975</v>
      </c>
      <c r="L21" t="str">
        <f t="shared" si="0"/>
        <v xml:space="preserve">    87.2271386430678, 84.8967551622419, 85.0442477876106, 85.693215339233, 70.9360807619443, 60.8369449562713, 42.4123911106498,</v>
      </c>
    </row>
    <row r="22" spans="2:12">
      <c r="B22" t="s">
        <v>20</v>
      </c>
      <c r="C22">
        <v>93.598820058997063</v>
      </c>
      <c r="D22">
        <v>93.392330383480825</v>
      </c>
      <c r="E22">
        <v>92.772861356932154</v>
      </c>
      <c r="F22">
        <v>92.035398230088489</v>
      </c>
      <c r="G22">
        <v>88.702583932386958</v>
      </c>
      <c r="H22">
        <v>72.825889497313995</v>
      </c>
      <c r="I22">
        <v>57.482936703604693</v>
      </c>
      <c r="L22" t="str">
        <f t="shared" si="0"/>
        <v xml:space="preserve">    93.5988200589971, 93.3923303834808, 92.7728613569322, 92.0353982300885, 88.702583932387, 72.825889497314, 57.4829367036047,</v>
      </c>
    </row>
    <row r="23" spans="2:12">
      <c r="B23" t="s">
        <v>21</v>
      </c>
      <c r="C23">
        <v>90.236161212467238</v>
      </c>
      <c r="D23">
        <v>90.383480825958699</v>
      </c>
      <c r="E23">
        <v>89.675516224188783</v>
      </c>
      <c r="F23">
        <v>86.224188790560476</v>
      </c>
      <c r="G23">
        <v>78.053270357010007</v>
      </c>
      <c r="H23">
        <v>52.115762247078258</v>
      </c>
      <c r="I23">
        <v>46.079637367105249</v>
      </c>
      <c r="L23" t="str">
        <f t="shared" si="0"/>
        <v xml:space="preserve">    90.2361612124672, 90.3834808259587, 89.6755162241888, 86.2241887905605, 78.05327035701, 52.1157622470783, 46.0796373671052,</v>
      </c>
    </row>
    <row r="24" spans="2:12">
      <c r="B24" t="s">
        <v>22</v>
      </c>
      <c r="C24">
        <v>94.306784660766965</v>
      </c>
      <c r="D24">
        <v>95.752212389380531</v>
      </c>
      <c r="E24">
        <v>93.510324483775804</v>
      </c>
      <c r="F24">
        <v>91.91740412979351</v>
      </c>
      <c r="G24">
        <v>82.743881867490202</v>
      </c>
      <c r="H24">
        <v>57.586570818086663</v>
      </c>
      <c r="I24">
        <v>45.654547184664217</v>
      </c>
      <c r="L24" t="str">
        <f t="shared" si="0"/>
        <v xml:space="preserve">    94.306784660767, 95.7522123893805, 93.5103244837758, 91.9174041297935, 82.7438818674902, 57.5865708180867, 45.6545471846642,</v>
      </c>
    </row>
    <row r="25" spans="2:12">
      <c r="B25" t="s">
        <v>23</v>
      </c>
      <c r="C25">
        <v>93.923303834808252</v>
      </c>
      <c r="D25">
        <v>93.539823008849552</v>
      </c>
      <c r="E25">
        <v>91.946902654867259</v>
      </c>
      <c r="F25">
        <v>91.179941002949846</v>
      </c>
      <c r="G25">
        <v>76.886391750793692</v>
      </c>
      <c r="H25">
        <v>63.627194006868571</v>
      </c>
      <c r="I25">
        <v>46.605247450237457</v>
      </c>
      <c r="L25" t="str">
        <f t="shared" si="0"/>
        <v xml:space="preserve">    93.9233038348083, 93.5398230088496, 91.9469026548673, 91.1799410029498, 76.8863917507937, 63.6271940068686, 46.6052474502375,</v>
      </c>
    </row>
    <row r="26" spans="2:12">
      <c r="B26" t="s">
        <v>24</v>
      </c>
      <c r="C26">
        <v>92.271386430678461</v>
      </c>
      <c r="D26">
        <v>87.374631268436573</v>
      </c>
      <c r="E26">
        <v>89.941002949852503</v>
      </c>
      <c r="F26">
        <v>87.935103244837748</v>
      </c>
      <c r="G26">
        <v>83.834808259587021</v>
      </c>
      <c r="H26">
        <v>67.136653431258054</v>
      </c>
      <c r="I26">
        <v>61.19750170849229</v>
      </c>
      <c r="L26" t="str">
        <f t="shared" si="0"/>
        <v xml:space="preserve">    92.2713864306785, 87.3746312684366, 89.9410029498525, 87.9351032448377, 83.834808259587, 67.1366534312581, 61.1975017084923,</v>
      </c>
    </row>
    <row r="27" spans="2:12">
      <c r="B27" t="s">
        <v>25</v>
      </c>
      <c r="C27">
        <v>84.365781710914447</v>
      </c>
      <c r="D27">
        <v>84.896755162241888</v>
      </c>
      <c r="E27">
        <v>84.395280235988196</v>
      </c>
      <c r="F27">
        <v>83.48082595870207</v>
      </c>
      <c r="G27">
        <v>79.970674486803517</v>
      </c>
      <c r="H27">
        <v>72.931080718691334</v>
      </c>
      <c r="I27">
        <v>53.080043945016833</v>
      </c>
      <c r="L27" t="str">
        <f t="shared" si="0"/>
        <v xml:space="preserve">    84.3657817109144, 84.8967551622419, 84.3952802359882, 83.4808259587021, 79.9706744868035, 72.9310807186913, 53.0800439450168,</v>
      </c>
    </row>
    <row r="28" spans="2:12">
      <c r="B28" t="s">
        <v>26</v>
      </c>
      <c r="C28">
        <v>86.843657817109147</v>
      </c>
      <c r="D28">
        <v>84.837758112094392</v>
      </c>
      <c r="E28">
        <v>83.775811209439524</v>
      </c>
      <c r="F28">
        <v>82.212389380530979</v>
      </c>
      <c r="G28">
        <v>80.501474926253678</v>
      </c>
      <c r="H28">
        <v>60.297147899203289</v>
      </c>
      <c r="I28">
        <v>53.707990553551497</v>
      </c>
      <c r="L28" t="str">
        <f t="shared" si="0"/>
        <v xml:space="preserve">    86.8436578171091, 84.8377581120944, 83.7758112094395, 82.212389380531, 80.5014749262537, 60.2971478992033, 53.7079905535515,</v>
      </c>
    </row>
    <row r="29" spans="2:12">
      <c r="B29" t="s">
        <v>27</v>
      </c>
      <c r="C29">
        <v>97.964601769911511</v>
      </c>
      <c r="D29">
        <v>98.112094395280238</v>
      </c>
      <c r="E29">
        <v>98.318584070796462</v>
      </c>
      <c r="F29">
        <v>96.342182890855455</v>
      </c>
      <c r="G29">
        <v>93.687315634218294</v>
      </c>
      <c r="H29">
        <v>74.778155520376473</v>
      </c>
      <c r="I29">
        <v>71.031842836010696</v>
      </c>
      <c r="L29" t="str">
        <f t="shared" si="0"/>
        <v xml:space="preserve">    97.9646017699115, 98.1120943952802, 98.3185840707965, 96.3421828908555, 93.6873156342183, 74.7781555203765, 71.0318428360107,</v>
      </c>
    </row>
    <row r="30" spans="2:12">
      <c r="B30" t="s">
        <v>28</v>
      </c>
      <c r="C30">
        <v>99.233038348082601</v>
      </c>
      <c r="D30">
        <v>98.466076696165189</v>
      </c>
      <c r="E30">
        <v>98.407079646017706</v>
      </c>
      <c r="F30">
        <v>95.663716814159301</v>
      </c>
      <c r="G30">
        <v>94.247787610619469</v>
      </c>
      <c r="H30">
        <v>79.21409354752204</v>
      </c>
      <c r="I30">
        <v>54.186541406067519</v>
      </c>
      <c r="L30" t="str">
        <f t="shared" si="0"/>
        <v xml:space="preserve">    99.2330383480826, 98.4660766961652, 98.4070796460177, 95.6637168141593, 94.2477876106195, 79.214093547522, 54.1865414060675,</v>
      </c>
    </row>
    <row r="31" spans="2:12">
      <c r="B31" t="s">
        <v>29</v>
      </c>
      <c r="C31">
        <v>98.584070796460168</v>
      </c>
      <c r="D31">
        <v>98.790560471976406</v>
      </c>
      <c r="E31">
        <v>98.584070796460168</v>
      </c>
      <c r="F31">
        <v>98.259587020648979</v>
      </c>
      <c r="G31">
        <v>97.522123893805315</v>
      </c>
      <c r="H31">
        <v>90.045069594027638</v>
      </c>
      <c r="I31">
        <v>65.301602955042853</v>
      </c>
      <c r="L31" t="str">
        <f t="shared" si="0"/>
        <v xml:space="preserve">    98.5840707964602, 98.7905604719764, 98.5840707964602, 98.259587020649, 97.5221238938053, 90.0450695940276, 65.3016029550429,</v>
      </c>
    </row>
    <row r="32" spans="2:12">
      <c r="B32" t="s">
        <v>32</v>
      </c>
      <c r="C32">
        <f>AVERAGE(C2:C31)</f>
        <v>93.317606553689899</v>
      </c>
      <c r="D32">
        <f t="shared" ref="D32:I32" si="1">AVERAGE(D2:D31)</f>
        <v>92.820093599425576</v>
      </c>
      <c r="E32">
        <f t="shared" si="1"/>
        <v>92.141598687416575</v>
      </c>
      <c r="F32">
        <f t="shared" si="1"/>
        <v>90.823020383682675</v>
      </c>
      <c r="G32">
        <f t="shared" si="1"/>
        <v>85.531250270331029</v>
      </c>
      <c r="H32">
        <f t="shared" si="1"/>
        <v>65.196218537069228</v>
      </c>
      <c r="I32">
        <f t="shared" si="1"/>
        <v>51.855817668549612</v>
      </c>
    </row>
    <row r="34" spans="1:12">
      <c r="C34" t="str">
        <f t="shared" ref="C34:D34" si="2">""&amp;_xlfn.TEXTJOIN(", ",TRUE,C2:C31)&amp;","</f>
        <v>89.7345132743363, 94.188790560472, 87.4336283185841, 92.212389380531, 95.9882005899705, 94.4542772861357, 93.0678466076696, 97.787610619469, 97.787610619469, 95.3982300884956, 91.740412979351, 94.8967551622419, 90.2949852507375, 94.3657817109145, 92.3893805309735, 95.1032448377581, 93.5693215339233, 97.3451327433628, 93.2153392330383, 87.2271386430678, 93.5988200589971, 90.2361612124672, 94.306784660767, 93.9233038348083, 92.2713864306785, 84.3657817109144, 86.8436578171091, 97.9646017699115, 99.2330383480826, 98.5840707964602,</v>
      </c>
      <c r="D34" t="str">
        <f t="shared" si="2"/>
        <v>90.0884955752212, 94.5722713864307, 89.5280235988201, 92.8908554572271, 95.2507374631269, 92.6552132803917, 93.3923303834808, 97.5516224188791, 98.0825958702065, 96.3716814159292, 91.0324483775811, 95.2212389380531, 88.259587020649, 93.3333333333333, 87.3156342182891, 94.4542772861357, 94.4549693336448, 96.0766961651917, 93.6283185840708, 84.8967551622419, 93.3923303834808, 90.3834808259587, 95.7522123893805, 93.5398230088496, 87.3746312684366, 84.8967551622419, 84.8377581120944, 98.1120943952802, 98.4660766961652, 98.7905604719764,</v>
      </c>
      <c r="E34" t="str">
        <f>""&amp;_xlfn.TEXTJOIN(", ",TRUE,E2:E31)&amp;","</f>
        <v>89.3215339233038, 93.6578171091445, 88.8790560471976, 90.4719764011799, 92.9498525073746, 92.8023598820059, 93.2743362831858, 97.9646017699115, 97.2271386430678, 96.8436578171091, 89.2625368731563, 94.306784660767, 86.2536873156342, 91.858407079646, 87.4631268436578, 92.5958702064897, 93.6284915959481, 95.1622418879056, 93.952802359882, 85.0442477876106, 92.7728613569322, 89.6755162241888, 93.5103244837758, 91.9469026548673, 89.9410029498525, 84.3952802359882, 83.7758112094395, 98.3185840707965, 98.4070796460177, 98.5840707964602,</v>
      </c>
      <c r="F34" t="str">
        <f t="shared" ref="F34:I34" si="3">""&amp;_xlfn.TEXTJOIN(", ",TRUE,F2:F31)&amp;","</f>
        <v>86.9911504424779, 91.9469026548673, 88.3480825958702, 90.4719764011799, 91.740412979351, 93.5103244837758, 91.0029498525074, 95.8702064896755, 94.424778761062, 92.8318584070796, 89.1445427728614, 93.4808259587021, 87.4631268436578, 90.9734513274336, 85.5162241887906, 91.976401179941, 90.5018209500082, 94.3657817109145, 93.1858407079646, 85.693215339233, 92.0353982300885, 86.2241887905605, 91.9174041297935, 91.1799410029498, 87.9351032448377, 83.4808259587021, 82.212389380531, 96.3421828908555, 95.6637168141593, 98.259587020649,</v>
      </c>
      <c r="G34" t="str">
        <f t="shared" si="3"/>
        <v>85.7817109144543, 85.9135459649305, 81.5930933658596, 85.1032448377581, 79.0560471976401, 87.1386430678466, 87.8466076696165, 91.0933485583785, 93.2153392330383, 91.1504424778761, 85.8997050147493, 89.9118504485333, 84.7492625368731, 84.4158686493828, 77.592366715975, 87.3156342182891, 85.6052387996436, 87.3857040285816, 88.0834609295928, 70.9360807619443, 88.702583932387, 78.05327035701, 82.7438818674902, 76.8863917507937, 83.834808259587, 79.9706744868035, 80.5014749262537, 93.6873156342183, 94.2477876106195, 97.5221238938053,</v>
      </c>
      <c r="H34" t="str">
        <f t="shared" si="3"/>
        <v>63.3906867706468, 65.3224508862533, 59.0578638223514, 55.8039429406829, 64.2855041998633, 52.5065095718821, 66.9346620645507, 65.1956331802178, 72.1127345392261, 62.1168003183418, 62.8905959394112, 62.9044368895925, 69.757177830258, 58.4517167103522, 57.9495497365894, 66.6568914956012, 64.2922516630767, 72.3277017967283, 62.5348835197536, 60.8369449562713, 72.825889497314, 52.1157622470783, 57.5865708180867, 63.6271940068686, 67.1366534312581, 72.9310807186913, 60.2971478992033, 74.7781555203765, 79.214093547522, 90.0450695940276,</v>
      </c>
      <c r="I34" t="str">
        <f t="shared" si="3"/>
        <v>48.839868856997, 46.7915812420523, 47.5236810007007, 43.3964826685352, 58.3744669071532, 43.0561683059542, 62.896305331361, 57.8289604581355, 57.9807783804358, 43.45374959991, 46.2267839687195, 50.1782022335833, 54.5567003174768, 44.2222683587228, 39.8480090658224, 47.7834583344147, 57.669616519174, 56.8785197103781, 51.4286455765188, 42.4123911106498, 57.4829367036047, 46.0796373671052, 45.6545471846642, 46.6052474502375, 61.1975017084923, 53.0800439450168, 53.7079905535515, 71.0318428360107, 54.1865414060675, 65.3016029550429,</v>
      </c>
    </row>
    <row r="35" spans="1:12" ht="15" thickBot="1"/>
    <row r="36" spans="1:12" ht="15" thickBot="1">
      <c r="A36" s="4" t="s">
        <v>43</v>
      </c>
      <c r="B36" s="3" t="s">
        <v>30</v>
      </c>
      <c r="C36" s="1">
        <v>1</v>
      </c>
      <c r="D36" s="1">
        <v>0.75</v>
      </c>
      <c r="E36" s="1">
        <v>0.5</v>
      </c>
      <c r="F36" s="1">
        <v>0.3</v>
      </c>
      <c r="G36" s="1">
        <v>0.2</v>
      </c>
      <c r="H36" s="1">
        <v>0.1</v>
      </c>
      <c r="I36" s="2">
        <v>0.05</v>
      </c>
    </row>
    <row r="37" spans="1:12">
      <c r="B37" t="s">
        <v>33</v>
      </c>
      <c r="C37">
        <f>AVERAGE(C2:C4)</f>
        <v>90.452310717797445</v>
      </c>
      <c r="D37">
        <f t="shared" ref="D37:I37" si="4">AVERAGE(D2:D4)</f>
        <v>91.396263520157319</v>
      </c>
      <c r="E37">
        <f t="shared" si="4"/>
        <v>90.619469026548686</v>
      </c>
      <c r="F37">
        <f t="shared" si="4"/>
        <v>89.09537856440511</v>
      </c>
      <c r="G37">
        <f t="shared" si="4"/>
        <v>84.429450081748115</v>
      </c>
      <c r="H37">
        <f t="shared" si="4"/>
        <v>62.590333826417179</v>
      </c>
      <c r="I37">
        <f t="shared" si="4"/>
        <v>47.718377033249993</v>
      </c>
      <c r="L37" t="str">
        <f t="shared" ref="L37:L47" si="5">"    "&amp;_xlfn.TEXTJOIN(", ",TRUE,C37:I37)&amp;","</f>
        <v xml:space="preserve">    90.4523107177974, 91.3962635201573, 90.6194690265487, 89.0953785644051, 84.4294500817481, 62.5903338264172, 47.71837703325,</v>
      </c>
    </row>
    <row r="38" spans="1:12">
      <c r="B38" t="s">
        <v>34</v>
      </c>
      <c r="C38">
        <f>AVERAGE(C5:C7)</f>
        <v>94.218289085545734</v>
      </c>
      <c r="D38">
        <f t="shared" ref="D38:I38" si="6">AVERAGE(D5:D7)</f>
        <v>93.598935400248578</v>
      </c>
      <c r="E38">
        <f t="shared" si="6"/>
        <v>92.074729596853487</v>
      </c>
      <c r="F38">
        <f t="shared" si="6"/>
        <v>91.907571288102261</v>
      </c>
      <c r="G38">
        <f t="shared" si="6"/>
        <v>83.765978367748289</v>
      </c>
      <c r="H38">
        <f t="shared" si="6"/>
        <v>57.531985570809432</v>
      </c>
      <c r="I38">
        <f t="shared" si="6"/>
        <v>48.275705960547526</v>
      </c>
      <c r="L38" t="str">
        <f t="shared" si="5"/>
        <v xml:space="preserve">    94.2182890855457, 93.5989354002486, 92.0747295968535, 91.9075712881023, 83.7659783677483, 57.5319855708094, 48.2757059605475,</v>
      </c>
    </row>
    <row r="39" spans="1:12">
      <c r="B39" t="s">
        <v>35</v>
      </c>
      <c r="C39">
        <f>AVERAGE(C8:C10)</f>
        <v>96.214355948869226</v>
      </c>
      <c r="D39">
        <f t="shared" ref="D39:I39" si="7">AVERAGE(D8:D10)</f>
        <v>96.342182890855455</v>
      </c>
      <c r="E39">
        <f t="shared" si="7"/>
        <v>96.15535889872173</v>
      </c>
      <c r="F39">
        <f t="shared" si="7"/>
        <v>93.765978367748289</v>
      </c>
      <c r="G39">
        <f t="shared" si="7"/>
        <v>90.718431820344463</v>
      </c>
      <c r="H39">
        <f t="shared" si="7"/>
        <v>68.081009927998224</v>
      </c>
      <c r="I39">
        <f t="shared" si="7"/>
        <v>59.568681389977428</v>
      </c>
      <c r="L39" t="str">
        <f t="shared" si="5"/>
        <v xml:space="preserve">    96.2143559488692, 96.3421828908555, 96.1553588987217, 93.7659783677483, 90.7184318203445, 68.0810099279982, 59.5686813899774,</v>
      </c>
    </row>
    <row r="40" spans="1:12">
      <c r="B40" t="s">
        <v>36</v>
      </c>
      <c r="C40">
        <f>AVERAGE(C11:C13)</f>
        <v>94.011799410029496</v>
      </c>
      <c r="D40">
        <f t="shared" ref="D40:I40" si="8">AVERAGE(D11:D13)</f>
        <v>94.208456243854471</v>
      </c>
      <c r="E40">
        <f t="shared" si="8"/>
        <v>93.470993117010821</v>
      </c>
      <c r="F40">
        <f t="shared" si="8"/>
        <v>91.819075712881002</v>
      </c>
      <c r="G40">
        <f t="shared" si="8"/>
        <v>88.987332647052881</v>
      </c>
      <c r="H40">
        <f t="shared" si="8"/>
        <v>62.637277715781842</v>
      </c>
      <c r="I40">
        <f t="shared" si="8"/>
        <v>46.619578600737604</v>
      </c>
      <c r="L40" t="str">
        <f t="shared" si="5"/>
        <v xml:space="preserve">    94.0117994100295, 94.2084562438545, 93.4709931170108, 91.819075712881, 88.9873326470529, 62.6372777157818, 46.6195786007376,</v>
      </c>
    </row>
    <row r="41" spans="1:12">
      <c r="B41" t="s">
        <v>37</v>
      </c>
      <c r="C41">
        <f>AVERAGE(C14:C16)</f>
        <v>92.350049164208443</v>
      </c>
      <c r="D41">
        <f t="shared" ref="D41:I41" si="9">AVERAGE(D14:D16)</f>
        <v>89.636184857423814</v>
      </c>
      <c r="E41">
        <f t="shared" si="9"/>
        <v>88.525073746312685</v>
      </c>
      <c r="F41">
        <f t="shared" si="9"/>
        <v>87.984267453294009</v>
      </c>
      <c r="G41">
        <f t="shared" si="9"/>
        <v>82.252499300743651</v>
      </c>
      <c r="H41">
        <f t="shared" si="9"/>
        <v>62.052814759066543</v>
      </c>
      <c r="I41">
        <f t="shared" si="9"/>
        <v>46.208992580674</v>
      </c>
      <c r="L41" t="str">
        <f t="shared" si="5"/>
        <v xml:space="preserve">    92.3500491642084, 89.6361848574238, 88.5250737463127, 87.984267453294, 82.2524993007437, 62.0528147590665, 46.208992580674,</v>
      </c>
    </row>
    <row r="42" spans="1:12">
      <c r="B42" t="s">
        <v>38</v>
      </c>
      <c r="C42">
        <f>AVERAGE(C17:C19)</f>
        <v>95.339233038348084</v>
      </c>
      <c r="D42">
        <f t="shared" ref="D42:I42" si="10">AVERAGE(D17:D19)</f>
        <v>94.995314261657384</v>
      </c>
      <c r="E42">
        <f t="shared" si="10"/>
        <v>93.795534563447788</v>
      </c>
      <c r="F42">
        <f t="shared" si="10"/>
        <v>92.28133461362124</v>
      </c>
      <c r="G42">
        <f t="shared" si="10"/>
        <v>86.768859015504745</v>
      </c>
      <c r="H42">
        <f t="shared" si="10"/>
        <v>67.758948318468725</v>
      </c>
      <c r="I42">
        <f t="shared" si="10"/>
        <v>54.11053152132228</v>
      </c>
      <c r="L42" t="str">
        <f t="shared" si="5"/>
        <v xml:space="preserve">    95.3392330383481, 94.9953142616574, 93.7955345634478, 92.2813346136212, 86.7688590155047, 67.7589483184687, 54.1105315213223,</v>
      </c>
    </row>
    <row r="43" spans="1:12">
      <c r="B43" t="s">
        <v>39</v>
      </c>
      <c r="C43">
        <f>AVERAGE(C20:C22)</f>
        <v>91.347099311701072</v>
      </c>
      <c r="D43">
        <f t="shared" ref="D43:I43" si="11">AVERAGE(D20:D22)</f>
        <v>90.63913470993117</v>
      </c>
      <c r="E43">
        <f t="shared" si="11"/>
        <v>90.589970501474923</v>
      </c>
      <c r="F43">
        <f t="shared" si="11"/>
        <v>90.304818092428718</v>
      </c>
      <c r="G43">
        <f t="shared" si="11"/>
        <v>82.574041874641367</v>
      </c>
      <c r="H43">
        <f t="shared" si="11"/>
        <v>65.399239324446299</v>
      </c>
      <c r="I43">
        <f t="shared" si="11"/>
        <v>50.441324463591094</v>
      </c>
      <c r="L43" t="str">
        <f t="shared" si="5"/>
        <v xml:space="preserve">    91.3470993117011, 90.6391347099312, 90.5899705014749, 90.3048180924287, 82.5740418746414, 65.3992393244463, 50.4413244635911,</v>
      </c>
    </row>
    <row r="44" spans="1:12">
      <c r="B44" t="s">
        <v>40</v>
      </c>
      <c r="C44">
        <f>AVERAGE(C23:C25)</f>
        <v>92.822083236014166</v>
      </c>
      <c r="D44">
        <f t="shared" ref="D44:I44" si="12">AVERAGE(D23:D25)</f>
        <v>93.225172074729599</v>
      </c>
      <c r="E44">
        <f t="shared" si="12"/>
        <v>91.710914454277273</v>
      </c>
      <c r="F44">
        <f t="shared" si="12"/>
        <v>89.773844641101277</v>
      </c>
      <c r="G44">
        <f t="shared" si="12"/>
        <v>79.227847991764634</v>
      </c>
      <c r="H44">
        <f t="shared" si="12"/>
        <v>57.776509024011169</v>
      </c>
      <c r="I44">
        <f t="shared" si="12"/>
        <v>46.113144000668967</v>
      </c>
      <c r="L44" t="str">
        <f t="shared" si="5"/>
        <v xml:space="preserve">    92.8220832360142, 93.2251720747296, 91.7109144542773, 89.7738446411013, 79.2278479917646, 57.7765090240112, 46.113144000669,</v>
      </c>
    </row>
    <row r="45" spans="1:12">
      <c r="B45" t="s">
        <v>41</v>
      </c>
      <c r="C45">
        <f>AVERAGE(C26:C28)</f>
        <v>87.826941986234019</v>
      </c>
      <c r="D45">
        <f t="shared" ref="D45:I45" si="13">AVERAGE(D26:D28)</f>
        <v>85.703048180924284</v>
      </c>
      <c r="E45">
        <f t="shared" si="13"/>
        <v>86.037364798426736</v>
      </c>
      <c r="F45">
        <f t="shared" si="13"/>
        <v>84.542772861356923</v>
      </c>
      <c r="G45">
        <f t="shared" si="13"/>
        <v>81.435652557548067</v>
      </c>
      <c r="H45">
        <f t="shared" si="13"/>
        <v>66.788294016384228</v>
      </c>
      <c r="I45">
        <f t="shared" si="13"/>
        <v>55.995178735686871</v>
      </c>
      <c r="L45" t="str">
        <f t="shared" si="5"/>
        <v xml:space="preserve">    87.826941986234, 85.7030481809243, 86.0373647984267, 84.5427728613569, 81.4356525575481, 66.7882940163842, 55.9951787356869,</v>
      </c>
    </row>
    <row r="46" spans="1:12">
      <c r="B46" t="s">
        <v>42</v>
      </c>
      <c r="C46">
        <f>AVERAGE(C29:C31)</f>
        <v>98.593903638151417</v>
      </c>
      <c r="D46">
        <f t="shared" ref="D46:I46" si="14">AVERAGE(D29:D31)</f>
        <v>98.456243854473939</v>
      </c>
      <c r="E46">
        <f t="shared" si="14"/>
        <v>98.436578171091426</v>
      </c>
      <c r="F46">
        <f t="shared" si="14"/>
        <v>96.75516224188793</v>
      </c>
      <c r="G46">
        <f t="shared" si="14"/>
        <v>95.152409046214359</v>
      </c>
      <c r="H46">
        <f t="shared" si="14"/>
        <v>81.345772887308712</v>
      </c>
      <c r="I46">
        <f t="shared" si="14"/>
        <v>63.506662399040351</v>
      </c>
      <c r="L46" t="str">
        <f t="shared" si="5"/>
        <v xml:space="preserve">    98.5939036381514, 98.4562438544739, 98.4365781710914, 96.7551622418879, 95.1524090462144, 81.3457728873087, 63.5066623990404,</v>
      </c>
    </row>
    <row r="47" spans="1:12">
      <c r="B47" t="s">
        <v>32</v>
      </c>
      <c r="C47">
        <f>AVERAGE(C37:C46)</f>
        <v>93.317606553689899</v>
      </c>
      <c r="D47">
        <f t="shared" ref="D47:I47" si="15">AVERAGE(D37:D46)</f>
        <v>92.820093599425604</v>
      </c>
      <c r="E47">
        <f t="shared" si="15"/>
        <v>92.141598687416561</v>
      </c>
      <c r="F47">
        <f t="shared" si="15"/>
        <v>90.823020383682675</v>
      </c>
      <c r="G47">
        <f t="shared" si="15"/>
        <v>85.531250270331071</v>
      </c>
      <c r="H47">
        <f t="shared" si="15"/>
        <v>65.196218537069242</v>
      </c>
      <c r="I47">
        <f t="shared" si="15"/>
        <v>51.855817668549619</v>
      </c>
      <c r="L47" t="str">
        <f t="shared" si="5"/>
        <v xml:space="preserve">    93.3176065536899, 92.8200935994256, 92.1415986874166, 90.8230203836827, 85.5312502703311, 65.1962185370692, 51.8558176685496,</v>
      </c>
    </row>
    <row r="49" spans="3:9">
      <c r="C49">
        <f>_xlfn.STDEV.P(C37:C46)</f>
        <v>2.9160332892639023</v>
      </c>
      <c r="D49">
        <f t="shared" ref="D49:I49" si="16">_xlfn.STDEV.P(D37:D46)</f>
        <v>3.4521675176140505</v>
      </c>
      <c r="E49">
        <f t="shared" si="16"/>
        <v>3.3984576546158616</v>
      </c>
      <c r="F49">
        <f t="shared" si="16"/>
        <v>3.1622846606347323</v>
      </c>
      <c r="G49">
        <f t="shared" si="16"/>
        <v>4.6182460772081049</v>
      </c>
      <c r="H49">
        <f t="shared" si="16"/>
        <v>6.4442686906104605</v>
      </c>
      <c r="I49">
        <f t="shared" si="16"/>
        <v>5.8452376701441189</v>
      </c>
    </row>
  </sheetData>
  <phoneticPr fontId="1" type="noConversion"/>
  <conditionalFormatting sqref="C37:I4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138E-59CE-40BE-B64B-77ED25B4524B}">
  <dimension ref="A1:L47"/>
  <sheetViews>
    <sheetView workbookViewId="0"/>
  </sheetViews>
  <sheetFormatPr defaultRowHeight="14.25"/>
  <sheetData>
    <row r="1" spans="1:12" ht="15" thickBot="1">
      <c r="A1" s="4" t="s">
        <v>44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90.707964601769916</v>
      </c>
      <c r="D2">
        <v>88.879056047197636</v>
      </c>
      <c r="E2">
        <v>88.997050147492615</v>
      </c>
      <c r="F2">
        <v>89.410029498525063</v>
      </c>
      <c r="G2">
        <v>86.078080260209873</v>
      </c>
      <c r="H2">
        <v>63.449164785162488</v>
      </c>
      <c r="I2">
        <v>44.805664408861666</v>
      </c>
      <c r="L2" t="str">
        <f t="shared" ref="L2:L31" si="0">"    "&amp;_xlfn.TEXTJOIN(", ",TRUE,C2:I2)&amp;","</f>
        <v xml:space="preserve">    90.7079646017699, 88.8790560471976, 88.9970501474926, 89.4100294985251, 86.0780802602099, 63.4491647851625, 44.8056644088617,</v>
      </c>
    </row>
    <row r="3" spans="1:12">
      <c r="B3" t="s">
        <v>1</v>
      </c>
      <c r="C3">
        <v>94.39528023598821</v>
      </c>
      <c r="D3">
        <v>93.274336283185832</v>
      </c>
      <c r="E3">
        <v>92.123893805309734</v>
      </c>
      <c r="F3">
        <v>91.091445427728615</v>
      </c>
      <c r="G3">
        <v>85.826953520359169</v>
      </c>
      <c r="H3">
        <v>68.040294466215101</v>
      </c>
      <c r="I3">
        <v>47.650671718613481</v>
      </c>
      <c r="L3" t="str">
        <f t="shared" si="0"/>
        <v xml:space="preserve">    94.3952802359882, 93.2743362831858, 92.1238938053097, 91.0914454277286, 85.8269535203592, 68.0402944662151, 47.6506717186135,</v>
      </c>
    </row>
    <row r="4" spans="1:12">
      <c r="B4" t="s">
        <v>2</v>
      </c>
      <c r="C4">
        <v>88.43657817109144</v>
      </c>
      <c r="D4">
        <v>89.233038348082601</v>
      </c>
      <c r="E4">
        <v>89.233038348082601</v>
      </c>
      <c r="F4">
        <v>86.755162241887916</v>
      </c>
      <c r="G4">
        <v>83.74631268436579</v>
      </c>
      <c r="H4">
        <v>67.473075026600583</v>
      </c>
      <c r="I4">
        <v>47.443316983710929</v>
      </c>
      <c r="L4" t="str">
        <f t="shared" si="0"/>
        <v xml:space="preserve">    88.4365781710914, 89.2330383480826, 89.2330383480826, 86.7551622418879, 83.7463126843658, 67.4730750266006, 47.4433169837109,</v>
      </c>
    </row>
    <row r="5" spans="1:12">
      <c r="B5" t="s">
        <v>3</v>
      </c>
      <c r="C5">
        <v>91.740412979351021</v>
      </c>
      <c r="D5">
        <v>92.035398230088489</v>
      </c>
      <c r="E5">
        <v>90.560471976401189</v>
      </c>
      <c r="F5">
        <v>87.994100294985259</v>
      </c>
      <c r="G5">
        <v>81.120943952802364</v>
      </c>
      <c r="H5">
        <v>64.292770698708466</v>
      </c>
      <c r="I5">
        <v>41.924151593006862</v>
      </c>
      <c r="L5" t="str">
        <f t="shared" si="0"/>
        <v xml:space="preserve">    91.740412979351, 92.0353982300885, 90.5604719764012, 87.9941002949853, 81.1209439528024, 64.2927706987085, 41.9241515930069,</v>
      </c>
    </row>
    <row r="6" spans="1:12">
      <c r="B6" t="s">
        <v>4</v>
      </c>
      <c r="C6">
        <v>95.162241887905608</v>
      </c>
      <c r="D6">
        <v>94.12979351032449</v>
      </c>
      <c r="E6">
        <v>94.454277286135692</v>
      </c>
      <c r="F6">
        <v>92.330383480825958</v>
      </c>
      <c r="G6">
        <v>86.047370651995266</v>
      </c>
      <c r="H6">
        <v>60.835906885007653</v>
      </c>
      <c r="I6">
        <v>47.846088633984721</v>
      </c>
      <c r="L6" t="str">
        <f t="shared" si="0"/>
        <v xml:space="preserve">    95.1622418879056, 94.1297935103245, 94.4542772861357, 92.330383480826, 86.0473706519953, 60.8359068850077, 47.8460886339847,</v>
      </c>
    </row>
    <row r="7" spans="1:12">
      <c r="B7" t="s">
        <v>5</v>
      </c>
      <c r="C7">
        <v>94.336283185840713</v>
      </c>
      <c r="D7">
        <v>93.834808259587021</v>
      </c>
      <c r="E7">
        <v>93.097345132743357</v>
      </c>
      <c r="F7">
        <v>89.764011799410042</v>
      </c>
      <c r="G7">
        <v>83.895881452261705</v>
      </c>
      <c r="H7">
        <v>55.148054913969851</v>
      </c>
      <c r="I7">
        <v>38.881824237233893</v>
      </c>
      <c r="L7" t="str">
        <f t="shared" si="0"/>
        <v xml:space="preserve">    94.3362831858407, 93.834808259587, 93.0973451327434, 89.76401179941, 83.8958814522617, 55.1480549139699, 38.8818242372339,</v>
      </c>
    </row>
    <row r="8" spans="1:12">
      <c r="B8" t="s">
        <v>6</v>
      </c>
      <c r="C8">
        <v>93.598820058997049</v>
      </c>
      <c r="D8">
        <v>92.448377581120937</v>
      </c>
      <c r="E8">
        <v>93.716814159292042</v>
      </c>
      <c r="F8">
        <v>90.855457227138643</v>
      </c>
      <c r="G8">
        <v>85.647713215512255</v>
      </c>
      <c r="H8">
        <v>68.670749746970131</v>
      </c>
      <c r="I8">
        <v>60.834522789989528</v>
      </c>
      <c r="L8" t="str">
        <f t="shared" si="0"/>
        <v xml:space="preserve">    93.598820058997, 92.4483775811209, 93.716814159292, 90.8554572271386, 85.6477132155123, 68.6707497469701, 60.8345227899895,</v>
      </c>
    </row>
    <row r="9" spans="1:12">
      <c r="B9" t="s">
        <v>7</v>
      </c>
      <c r="C9">
        <v>97.581120943952811</v>
      </c>
      <c r="D9">
        <v>97.994100294985259</v>
      </c>
      <c r="E9">
        <v>97.050147492625371</v>
      </c>
      <c r="F9">
        <v>95.840707964601762</v>
      </c>
      <c r="G9">
        <v>89.410375522279608</v>
      </c>
      <c r="H9">
        <v>64.071921037379212</v>
      </c>
      <c r="I9">
        <v>43.901417832334189</v>
      </c>
      <c r="L9" t="str">
        <f t="shared" si="0"/>
        <v xml:space="preserve">    97.5811209439528, 97.9941002949853, 97.0501474926254, 95.8407079646018, 89.4103755222796, 64.0719210373792, 43.9014178323342,</v>
      </c>
    </row>
    <row r="10" spans="1:12">
      <c r="B10" t="s">
        <v>8</v>
      </c>
      <c r="C10">
        <v>97.374631268436573</v>
      </c>
      <c r="D10">
        <v>97.817109144542769</v>
      </c>
      <c r="E10">
        <v>96.932153392330378</v>
      </c>
      <c r="F10">
        <v>92.654867256637175</v>
      </c>
      <c r="G10">
        <v>91.504424778761063</v>
      </c>
      <c r="H10">
        <v>72.435315184387406</v>
      </c>
      <c r="I10">
        <v>48.461232363601759</v>
      </c>
      <c r="L10" t="str">
        <f t="shared" si="0"/>
        <v xml:space="preserve">    97.3746312684366, 97.8171091445428, 96.9321533923304, 92.6548672566372, 91.5044247787611, 72.4353151843874, 48.4612323636018,</v>
      </c>
    </row>
    <row r="11" spans="1:12">
      <c r="B11" t="s">
        <v>9</v>
      </c>
      <c r="C11">
        <v>96.637168141592923</v>
      </c>
      <c r="D11">
        <v>96.489675516224196</v>
      </c>
      <c r="E11">
        <v>96.076696165191748</v>
      </c>
      <c r="F11">
        <v>92.772861356932154</v>
      </c>
      <c r="G11">
        <v>92.477876106194685</v>
      </c>
      <c r="H11">
        <v>60.61548975337157</v>
      </c>
      <c r="I11">
        <v>41.594996496509488</v>
      </c>
      <c r="L11" t="str">
        <f t="shared" si="0"/>
        <v xml:space="preserve">    96.6371681415929, 96.4896755162242, 96.0766961651917, 92.7728613569322, 92.4778761061947, 60.6154897533716, 41.5949964965095,</v>
      </c>
    </row>
    <row r="12" spans="1:12">
      <c r="B12" t="s">
        <v>10</v>
      </c>
      <c r="C12">
        <v>91.297935103244839</v>
      </c>
      <c r="D12">
        <v>90.678466076696168</v>
      </c>
      <c r="E12">
        <v>89.675516224188783</v>
      </c>
      <c r="F12">
        <v>89.616519174041301</v>
      </c>
      <c r="G12">
        <v>85.250737463126853</v>
      </c>
      <c r="H12">
        <v>61.804686891755111</v>
      </c>
      <c r="I12">
        <v>42.385920293428143</v>
      </c>
      <c r="L12" t="str">
        <f t="shared" si="0"/>
        <v xml:space="preserve">    91.2979351032448, 90.6784660766962, 89.6755162241888, 89.6165191740413, 85.2507374631269, 61.8046868917551, 42.3859202934281,</v>
      </c>
    </row>
    <row r="13" spans="1:12">
      <c r="B13" t="s">
        <v>11</v>
      </c>
      <c r="C13">
        <v>95.427728613569315</v>
      </c>
      <c r="D13">
        <v>95.457227138643063</v>
      </c>
      <c r="E13">
        <v>94.336283185840699</v>
      </c>
      <c r="F13">
        <v>90.973451327433636</v>
      </c>
      <c r="G13">
        <v>89.82300884955751</v>
      </c>
      <c r="H13">
        <v>62.937222640334262</v>
      </c>
      <c r="I13">
        <v>50.300867654564478</v>
      </c>
      <c r="L13" t="str">
        <f t="shared" si="0"/>
        <v xml:space="preserve">    95.4277286135693, 95.4572271386431, 94.3362831858407, 90.9734513274336, 89.8230088495575, 62.9372226403343, 50.3008676545645,</v>
      </c>
    </row>
    <row r="14" spans="1:12">
      <c r="B14" t="s">
        <v>12</v>
      </c>
      <c r="C14">
        <v>91.179941002949846</v>
      </c>
      <c r="D14">
        <v>86.51917404129793</v>
      </c>
      <c r="E14">
        <v>86.578171091445427</v>
      </c>
      <c r="F14">
        <v>85.663716814159301</v>
      </c>
      <c r="G14">
        <v>83.010925700049299</v>
      </c>
      <c r="H14">
        <v>67.105770811166195</v>
      </c>
      <c r="I14">
        <v>47.580774920198273</v>
      </c>
      <c r="L14" t="str">
        <f t="shared" si="0"/>
        <v xml:space="preserve">    91.1799410029498, 86.5191740412979, 86.5781710914454, 85.6637168141593, 83.0109257000493, 67.1057708111662, 47.5807749201983,</v>
      </c>
    </row>
    <row r="15" spans="1:12">
      <c r="B15" t="s">
        <v>13</v>
      </c>
      <c r="C15">
        <v>92.536873156342182</v>
      </c>
      <c r="D15">
        <v>89.882005899705021</v>
      </c>
      <c r="E15">
        <v>90.176991150442475</v>
      </c>
      <c r="F15">
        <v>88.023598820058993</v>
      </c>
      <c r="G15">
        <v>83.894670369120846</v>
      </c>
      <c r="H15">
        <v>56.150831754599949</v>
      </c>
      <c r="I15">
        <v>40.016609140217483</v>
      </c>
      <c r="L15" t="str">
        <f t="shared" si="0"/>
        <v xml:space="preserve">    92.5368731563422, 89.882005899705, 90.1769911504425, 88.023598820059, 83.8946703691208, 56.1508317545999, 40.0166091402175,</v>
      </c>
    </row>
    <row r="16" spans="1:12">
      <c r="B16" t="s">
        <v>14</v>
      </c>
      <c r="C16">
        <v>93.451327433628322</v>
      </c>
      <c r="D16">
        <v>88.200762982378734</v>
      </c>
      <c r="E16">
        <v>88.820058997050154</v>
      </c>
      <c r="F16">
        <v>83.482210053720195</v>
      </c>
      <c r="G16">
        <v>77.386050052336103</v>
      </c>
      <c r="H16">
        <v>58.44998659157951</v>
      </c>
      <c r="I16">
        <v>42.594832135226078</v>
      </c>
      <c r="L16" t="str">
        <f t="shared" si="0"/>
        <v xml:space="preserve">    93.4513274336283, 88.2007629823787, 88.8200589970502, 83.4822100537202, 77.3860500523361, 58.4499865915795, 42.5948321352261,</v>
      </c>
    </row>
    <row r="17" spans="2:12">
      <c r="B17" t="s">
        <v>15</v>
      </c>
      <c r="C17">
        <v>96.342182890855455</v>
      </c>
      <c r="D17">
        <v>93.952802359882</v>
      </c>
      <c r="E17">
        <v>93.097345132743357</v>
      </c>
      <c r="F17">
        <v>85.467348333463093</v>
      </c>
      <c r="G17">
        <v>81.895258609503543</v>
      </c>
      <c r="H17">
        <v>69.406655766918405</v>
      </c>
      <c r="I17">
        <v>42.767671000614193</v>
      </c>
      <c r="L17" t="str">
        <f t="shared" si="0"/>
        <v xml:space="preserve">    96.3421828908555, 93.952802359882, 93.0973451327434, 85.4673483334631, 81.8952586095035, 69.4066557669184, 42.7676710006142,</v>
      </c>
    </row>
    <row r="18" spans="2:12">
      <c r="B18" t="s">
        <v>16</v>
      </c>
      <c r="C18">
        <v>92.743362831858406</v>
      </c>
      <c r="D18">
        <v>93.894670369120846</v>
      </c>
      <c r="E18">
        <v>92.126488983468718</v>
      </c>
      <c r="F18">
        <v>88.087440202769912</v>
      </c>
      <c r="G18">
        <v>80.341092916028686</v>
      </c>
      <c r="H18">
        <v>65.741658664867344</v>
      </c>
      <c r="I18">
        <v>56.189672921046032</v>
      </c>
      <c r="L18" t="str">
        <f t="shared" si="0"/>
        <v xml:space="preserve">    92.7433628318584, 93.8946703691208, 92.1264889834687, 88.0874402027699, 80.3410929160287, 65.7416586648673, 56.189672921046,</v>
      </c>
    </row>
    <row r="19" spans="2:12">
      <c r="B19" t="s">
        <v>17</v>
      </c>
      <c r="C19">
        <v>97.463126843657818</v>
      </c>
      <c r="D19">
        <v>94.424778761061958</v>
      </c>
      <c r="E19">
        <v>94.660766961651916</v>
      </c>
      <c r="F19">
        <v>90.117994100294979</v>
      </c>
      <c r="G19">
        <v>80.692566544693292</v>
      </c>
      <c r="H19">
        <v>74.891132276230763</v>
      </c>
      <c r="I19">
        <v>49.778631303038949</v>
      </c>
      <c r="L19" t="str">
        <f t="shared" si="0"/>
        <v xml:space="preserve">    97.4631268436578, 94.424778761062, 94.6607669616519, 90.117994100295, 80.6925665446933, 74.8911322762308, 49.7786313030389,</v>
      </c>
    </row>
    <row r="20" spans="2:12">
      <c r="B20" t="s">
        <v>18</v>
      </c>
      <c r="C20">
        <v>92.005899705014741</v>
      </c>
      <c r="D20">
        <v>91.946902654867259</v>
      </c>
      <c r="E20">
        <v>93.067846607669622</v>
      </c>
      <c r="F20">
        <v>90.058997050147497</v>
      </c>
      <c r="G20">
        <v>82.301057967629475</v>
      </c>
      <c r="H20">
        <v>56.2510056315366</v>
      </c>
      <c r="I20">
        <v>43.97935968304224</v>
      </c>
      <c r="L20" t="str">
        <f t="shared" si="0"/>
        <v xml:space="preserve">    92.0058997050147, 91.9469026548673, 93.0678466076696, 90.0589970501475, 82.3010579676295, 56.2510056315366, 43.9793596830422,</v>
      </c>
    </row>
    <row r="21" spans="2:12">
      <c r="B21" t="s">
        <v>19</v>
      </c>
      <c r="C21">
        <v>87.522123893805315</v>
      </c>
      <c r="D21">
        <v>84.247787610619469</v>
      </c>
      <c r="E21">
        <v>84.542772861356937</v>
      </c>
      <c r="F21">
        <v>77.737610186939335</v>
      </c>
      <c r="G21">
        <v>76.529208730179334</v>
      </c>
      <c r="H21">
        <v>59.426725144681193</v>
      </c>
      <c r="I21">
        <v>46.648759937369697</v>
      </c>
      <c r="L21" t="str">
        <f t="shared" si="0"/>
        <v xml:space="preserve">    87.5221238938053, 84.2477876106195, 84.5427728613569, 77.7376101869393, 76.5292087301793, 59.4267251446812, 46.6487599373697,</v>
      </c>
    </row>
    <row r="22" spans="2:12">
      <c r="B22" t="s">
        <v>20</v>
      </c>
      <c r="C22">
        <v>94.513274336283189</v>
      </c>
      <c r="D22">
        <v>93.362831858407077</v>
      </c>
      <c r="E22">
        <v>91.00312286438465</v>
      </c>
      <c r="F22">
        <v>90.943952802359874</v>
      </c>
      <c r="G22">
        <v>85.316828000242211</v>
      </c>
      <c r="H22">
        <v>64.314137665550746</v>
      </c>
      <c r="I22">
        <v>48.662358670922757</v>
      </c>
      <c r="L22" t="str">
        <f t="shared" si="0"/>
        <v xml:space="preserve">    94.5132743362832, 93.3628318584071, 91.0031228643847, 90.9439528023599, 85.3168280002422, 64.3141376655507, 48.6623586709228,</v>
      </c>
    </row>
    <row r="23" spans="2:12">
      <c r="B23" t="s">
        <v>21</v>
      </c>
      <c r="C23">
        <v>90.914454277286126</v>
      </c>
      <c r="D23">
        <v>92.713864306784657</v>
      </c>
      <c r="E23">
        <v>90.147492625368727</v>
      </c>
      <c r="F23">
        <v>87.994100294985259</v>
      </c>
      <c r="G23">
        <v>80.625351430375687</v>
      </c>
      <c r="H23">
        <v>51.230979506743139</v>
      </c>
      <c r="I23">
        <v>35.28248514260504</v>
      </c>
      <c r="L23" t="str">
        <f t="shared" si="0"/>
        <v xml:space="preserve">    90.9144542772861, 92.7138643067847, 90.1474926253687, 87.9941002949853, 80.6253514303757, 51.2309795067431, 35.282485142605,</v>
      </c>
    </row>
    <row r="24" spans="2:12">
      <c r="B24" t="s">
        <v>22</v>
      </c>
      <c r="C24">
        <v>92.890855457227147</v>
      </c>
      <c r="D24">
        <v>92.802359882005902</v>
      </c>
      <c r="E24">
        <v>93.185840707964601</v>
      </c>
      <c r="F24">
        <v>89.056047197640126</v>
      </c>
      <c r="G24">
        <v>86.607669616519175</v>
      </c>
      <c r="H24">
        <v>55.211204249171701</v>
      </c>
      <c r="I24">
        <v>41.811001825275312</v>
      </c>
      <c r="L24" t="str">
        <f t="shared" si="0"/>
        <v xml:space="preserve">    92.8908554572271, 92.8023598820059, 93.1858407079646, 89.0560471976401, 86.6076696165192, 55.2112042491717, 41.8110018252753,</v>
      </c>
    </row>
    <row r="25" spans="2:12">
      <c r="B25" t="s">
        <v>23</v>
      </c>
      <c r="C25">
        <v>93.421828908554573</v>
      </c>
      <c r="D25">
        <v>91.179941002949846</v>
      </c>
      <c r="E25">
        <v>91.56342182890856</v>
      </c>
      <c r="F25">
        <v>90.914454277286126</v>
      </c>
      <c r="G25">
        <v>84.106177389077772</v>
      </c>
      <c r="H25">
        <v>56.582755906192958</v>
      </c>
      <c r="I25">
        <v>40.305192951496117</v>
      </c>
      <c r="L25" t="str">
        <f t="shared" si="0"/>
        <v xml:space="preserve">    93.4218289085546, 91.1799410029498, 91.5634218289086, 90.9144542772861, 84.1061773890778, 56.582755906193, 40.3051929514961,</v>
      </c>
    </row>
    <row r="26" spans="2:12">
      <c r="B26" t="s">
        <v>24</v>
      </c>
      <c r="C26">
        <v>93.421828908554573</v>
      </c>
      <c r="D26">
        <v>89.675516224188783</v>
      </c>
      <c r="E26">
        <v>88.112094395280238</v>
      </c>
      <c r="F26">
        <v>89.08554572271386</v>
      </c>
      <c r="G26">
        <v>85.162414899782874</v>
      </c>
      <c r="H26">
        <v>69.265910604763022</v>
      </c>
      <c r="I26">
        <v>62.086782757636307</v>
      </c>
      <c r="L26" t="str">
        <f t="shared" si="0"/>
        <v xml:space="preserve">    93.4218289085546, 89.6755162241888, 88.1120943952802, 89.0855457227139, 85.1624148997829, 69.265910604763, 62.0867827576363,</v>
      </c>
    </row>
    <row r="27" spans="2:12">
      <c r="B27" t="s">
        <v>25</v>
      </c>
      <c r="C27">
        <v>85.014749262536867</v>
      </c>
      <c r="D27">
        <v>83.982300884955748</v>
      </c>
      <c r="E27">
        <v>82.271559442555741</v>
      </c>
      <c r="F27">
        <v>82.772861356932154</v>
      </c>
      <c r="G27">
        <v>78.068322390332099</v>
      </c>
      <c r="H27">
        <v>60.453291118435267</v>
      </c>
      <c r="I27">
        <v>52.208583119231143</v>
      </c>
      <c r="L27" t="str">
        <f t="shared" si="0"/>
        <v xml:space="preserve">    85.0147492625369, 83.9823008849557, 82.2715594425557, 82.7728613569322, 78.0683223903321, 60.4532911184353, 52.2085831192311,</v>
      </c>
    </row>
    <row r="28" spans="2:12">
      <c r="B28" t="s">
        <v>26</v>
      </c>
      <c r="C28">
        <v>87.345132743362825</v>
      </c>
      <c r="D28">
        <v>84.306784660766965</v>
      </c>
      <c r="E28">
        <v>84.365781710914447</v>
      </c>
      <c r="F28">
        <v>81.445427728613566</v>
      </c>
      <c r="G28">
        <v>80.118167112172245</v>
      </c>
      <c r="H28">
        <v>60.930457875933179</v>
      </c>
      <c r="I28">
        <v>46.644088616683533</v>
      </c>
      <c r="L28" t="str">
        <f t="shared" si="0"/>
        <v xml:space="preserve">    87.3451327433628, 84.306784660767, 84.3657817109144, 81.4454277286136, 80.1181671121722, 60.9304578759332, 46.6440886166835,</v>
      </c>
    </row>
    <row r="29" spans="2:12">
      <c r="B29" t="s">
        <v>27</v>
      </c>
      <c r="C29">
        <v>98.702064896755161</v>
      </c>
      <c r="D29">
        <v>98.34808259587021</v>
      </c>
      <c r="E29">
        <v>97.758112094395273</v>
      </c>
      <c r="F29">
        <v>94.926253687315622</v>
      </c>
      <c r="G29">
        <v>85.724097959324908</v>
      </c>
      <c r="H29">
        <v>73.393281948805779</v>
      </c>
      <c r="I29">
        <v>57.607851278990303</v>
      </c>
      <c r="L29" t="str">
        <f t="shared" si="0"/>
        <v xml:space="preserve">    98.7020648967552, 98.3480825958702, 97.7581120943953, 94.9262536873156, 85.7240979593249, 73.3932819488058, 57.6078512789903,</v>
      </c>
    </row>
    <row r="30" spans="2:12">
      <c r="B30" t="s">
        <v>28</v>
      </c>
      <c r="C30">
        <v>99.292035398230084</v>
      </c>
      <c r="D30">
        <v>96.25368731563421</v>
      </c>
      <c r="E30">
        <v>94.513274336283189</v>
      </c>
      <c r="F30">
        <v>92.448377581120937</v>
      </c>
      <c r="G30">
        <v>91.032448377581119</v>
      </c>
      <c r="H30">
        <v>79.475947023763183</v>
      </c>
      <c r="I30">
        <v>61.7013988010277</v>
      </c>
      <c r="L30" t="str">
        <f t="shared" si="0"/>
        <v xml:space="preserve">    99.2920353982301, 96.2536873156342, 94.5132743362832, 92.4483775811209, 91.0324483775811, 79.4759470237632, 61.7013988010277,</v>
      </c>
    </row>
    <row r="31" spans="2:12">
      <c r="B31" t="s">
        <v>29</v>
      </c>
      <c r="C31">
        <v>98.43657817109144</v>
      </c>
      <c r="D31">
        <v>97.286135693215343</v>
      </c>
      <c r="E31">
        <v>97.374631268436573</v>
      </c>
      <c r="F31">
        <v>96.637168141592923</v>
      </c>
      <c r="G31">
        <v>95.899705014749273</v>
      </c>
      <c r="H31">
        <v>85.795205840880982</v>
      </c>
      <c r="I31">
        <v>54.53706346940718</v>
      </c>
      <c r="L31" t="str">
        <f t="shared" si="0"/>
        <v xml:space="preserve">    98.4365781710914, 97.2861356932153, 97.3746312684366, 96.6371681415929, 95.8997050147493, 85.795205840881, 54.5370634694072,</v>
      </c>
    </row>
    <row r="32" spans="2:12">
      <c r="B32" t="s">
        <v>32</v>
      </c>
      <c r="C32">
        <f>AVERAGE(C2:C31)</f>
        <v>93.463126843657818</v>
      </c>
      <c r="D32">
        <f t="shared" ref="D32:I32" si="1">AVERAGE(D2:D31)</f>
        <v>92.175059184479693</v>
      </c>
      <c r="E32">
        <f t="shared" si="1"/>
        <v>91.653982012531827</v>
      </c>
      <c r="F32">
        <f t="shared" si="1"/>
        <v>89.164070046742054</v>
      </c>
      <c r="G32">
        <f t="shared" si="1"/>
        <v>84.651389717904124</v>
      </c>
      <c r="H32">
        <f t="shared" si="1"/>
        <v>64.461719680389393</v>
      </c>
      <c r="I32">
        <f t="shared" si="1"/>
        <v>47.54779308932892</v>
      </c>
    </row>
    <row r="33" spans="1:12" ht="15" thickBot="1"/>
    <row r="34" spans="1:12" ht="15" thickBot="1">
      <c r="A34" s="4" t="s">
        <v>44</v>
      </c>
      <c r="B34" s="3" t="s">
        <v>30</v>
      </c>
      <c r="C34" s="1">
        <v>1</v>
      </c>
      <c r="D34" s="1">
        <v>0.75</v>
      </c>
      <c r="E34" s="1">
        <v>0.5</v>
      </c>
      <c r="F34" s="1">
        <v>0.3</v>
      </c>
      <c r="G34" s="1">
        <v>0.2</v>
      </c>
      <c r="H34" s="1">
        <v>0.1</v>
      </c>
      <c r="I34" s="2">
        <v>0.05</v>
      </c>
    </row>
    <row r="35" spans="1:12">
      <c r="B35" t="s">
        <v>33</v>
      </c>
      <c r="C35">
        <f>AVERAGE(C2:C4)</f>
        <v>91.17994100294986</v>
      </c>
      <c r="D35">
        <f t="shared" ref="D35:I35" si="2">AVERAGE(D2:D4)</f>
        <v>90.462143559488695</v>
      </c>
      <c r="E35">
        <f t="shared" si="2"/>
        <v>90.117994100294979</v>
      </c>
      <c r="F35">
        <f t="shared" si="2"/>
        <v>89.08554572271386</v>
      </c>
      <c r="G35">
        <f t="shared" si="2"/>
        <v>85.21711548831162</v>
      </c>
      <c r="H35">
        <f t="shared" si="2"/>
        <v>66.32084475932605</v>
      </c>
      <c r="I35">
        <f t="shared" si="2"/>
        <v>46.63321770372869</v>
      </c>
      <c r="L35" t="str">
        <f t="shared" ref="L35:L45" si="3">"    "&amp;_xlfn.TEXTJOIN(", ",TRUE,C35:I35)&amp;","</f>
        <v xml:space="preserve">    91.1799410029499, 90.4621435594887, 90.117994100295, 89.0855457227139, 85.2171154883116, 66.3208447593261, 46.6332177037287,</v>
      </c>
    </row>
    <row r="36" spans="1:12">
      <c r="B36" t="s">
        <v>34</v>
      </c>
      <c r="C36">
        <f>AVERAGE(C5:C7)</f>
        <v>93.746312684365776</v>
      </c>
      <c r="D36">
        <f t="shared" ref="D36:I36" si="4">AVERAGE(D5:D7)</f>
        <v>93.333333333333329</v>
      </c>
      <c r="E36">
        <f t="shared" si="4"/>
        <v>92.704031465093408</v>
      </c>
      <c r="F36">
        <f t="shared" si="4"/>
        <v>90.029498525073748</v>
      </c>
      <c r="G36">
        <f t="shared" si="4"/>
        <v>83.688065352353107</v>
      </c>
      <c r="H36">
        <f t="shared" si="4"/>
        <v>60.092244165895323</v>
      </c>
      <c r="I36">
        <f t="shared" si="4"/>
        <v>42.884021488075156</v>
      </c>
      <c r="L36" t="str">
        <f t="shared" si="3"/>
        <v xml:space="preserve">    93.7463126843658, 93.3333333333333, 92.7040314650934, 90.0294985250737, 83.6880653523531, 60.0922441658953, 42.8840214880752,</v>
      </c>
    </row>
    <row r="37" spans="1:12">
      <c r="B37" t="s">
        <v>35</v>
      </c>
      <c r="C37">
        <f>AVERAGE(C8:C10)</f>
        <v>96.184857423795492</v>
      </c>
      <c r="D37">
        <f t="shared" ref="D37:I37" si="5">AVERAGE(D8:D10)</f>
        <v>96.086529006882984</v>
      </c>
      <c r="E37">
        <f t="shared" si="5"/>
        <v>95.899705014749273</v>
      </c>
      <c r="F37">
        <f t="shared" si="5"/>
        <v>93.11701081612587</v>
      </c>
      <c r="G37">
        <f t="shared" si="5"/>
        <v>88.854171172184309</v>
      </c>
      <c r="H37">
        <f t="shared" si="5"/>
        <v>68.392661989578912</v>
      </c>
      <c r="I37">
        <f t="shared" si="5"/>
        <v>51.065724328641828</v>
      </c>
      <c r="L37" t="str">
        <f t="shared" si="3"/>
        <v xml:space="preserve">    96.1848574237955, 96.086529006883, 95.8997050147493, 93.1170108161259, 88.8541711721843, 68.3926619895789, 51.0657243286418,</v>
      </c>
    </row>
    <row r="38" spans="1:12">
      <c r="B38" t="s">
        <v>36</v>
      </c>
      <c r="C38">
        <f>AVERAGE(C11:C13)</f>
        <v>94.454277286135678</v>
      </c>
      <c r="D38">
        <f t="shared" ref="D38:I38" si="6">AVERAGE(D11:D13)</f>
        <v>94.208456243854471</v>
      </c>
      <c r="E38">
        <f t="shared" si="6"/>
        <v>93.362831858407091</v>
      </c>
      <c r="F38">
        <f t="shared" si="6"/>
        <v>91.120943952802364</v>
      </c>
      <c r="G38">
        <f t="shared" si="6"/>
        <v>89.183874139626354</v>
      </c>
      <c r="H38">
        <f t="shared" si="6"/>
        <v>61.785799761820307</v>
      </c>
      <c r="I38">
        <f t="shared" si="6"/>
        <v>44.760594814834036</v>
      </c>
      <c r="L38" t="str">
        <f t="shared" si="3"/>
        <v xml:space="preserve">    94.4542772861357, 94.2084562438545, 93.3628318584071, 91.1209439528024, 89.1838741396264, 61.7857997618203, 44.760594814834,</v>
      </c>
    </row>
    <row r="39" spans="1:12">
      <c r="B39" t="s">
        <v>37</v>
      </c>
      <c r="C39">
        <f>AVERAGE(C14:C16)</f>
        <v>92.38938053097344</v>
      </c>
      <c r="D39">
        <f t="shared" ref="D39:I39" si="7">AVERAGE(D14:D16)</f>
        <v>88.200647641127219</v>
      </c>
      <c r="E39">
        <f t="shared" si="7"/>
        <v>88.525073746312685</v>
      </c>
      <c r="F39">
        <f t="shared" si="7"/>
        <v>85.723175229312844</v>
      </c>
      <c r="G39">
        <f t="shared" si="7"/>
        <v>81.430548707168739</v>
      </c>
      <c r="H39">
        <f t="shared" si="7"/>
        <v>60.568863052448556</v>
      </c>
      <c r="I39">
        <f t="shared" si="7"/>
        <v>43.397405398547278</v>
      </c>
      <c r="L39" t="str">
        <f t="shared" si="3"/>
        <v xml:space="preserve">    92.3893805309734, 88.2006476411272, 88.5250737463127, 85.7231752293128, 81.4305487071687, 60.5688630524486, 43.3974053985473,</v>
      </c>
    </row>
    <row r="40" spans="1:12">
      <c r="B40" t="s">
        <v>38</v>
      </c>
      <c r="C40">
        <f>AVERAGE(C17:C19)</f>
        <v>95.516224188790559</v>
      </c>
      <c r="D40">
        <f t="shared" ref="D40:I40" si="8">AVERAGE(D17:D19)</f>
        <v>94.090750496688273</v>
      </c>
      <c r="E40">
        <f t="shared" si="8"/>
        <v>93.294867025954659</v>
      </c>
      <c r="F40">
        <f t="shared" si="8"/>
        <v>87.890927545509328</v>
      </c>
      <c r="G40">
        <f t="shared" si="8"/>
        <v>80.976306023408497</v>
      </c>
      <c r="H40">
        <f t="shared" si="8"/>
        <v>70.013148902672171</v>
      </c>
      <c r="I40">
        <f t="shared" si="8"/>
        <v>49.578658408233061</v>
      </c>
      <c r="L40" t="str">
        <f t="shared" si="3"/>
        <v xml:space="preserve">    95.5162241887906, 94.0907504966883, 93.2948670259547, 87.8909275455093, 80.9763060234085, 70.0131489026722, 49.5786584082331,</v>
      </c>
    </row>
    <row r="41" spans="1:12">
      <c r="B41" t="s">
        <v>39</v>
      </c>
      <c r="C41">
        <f>AVERAGE(C20:C22)</f>
        <v>91.347099311701072</v>
      </c>
      <c r="D41">
        <f t="shared" ref="D41:I41" si="9">AVERAGE(D20:D22)</f>
        <v>89.852507374631273</v>
      </c>
      <c r="E41">
        <f t="shared" si="9"/>
        <v>89.53791411113707</v>
      </c>
      <c r="F41">
        <f t="shared" si="9"/>
        <v>86.24685334648224</v>
      </c>
      <c r="G41">
        <f t="shared" si="9"/>
        <v>81.38236489935035</v>
      </c>
      <c r="H41">
        <f t="shared" si="9"/>
        <v>59.997289480589508</v>
      </c>
      <c r="I41">
        <f t="shared" si="9"/>
        <v>46.430159430444895</v>
      </c>
      <c r="L41" t="str">
        <f t="shared" si="3"/>
        <v xml:space="preserve">    91.3470993117011, 89.8525073746313, 89.5379141111371, 86.2468533464822, 81.3823648993503, 59.9972894805895, 46.4301594304449,</v>
      </c>
    </row>
    <row r="42" spans="1:12">
      <c r="B42" t="s">
        <v>40</v>
      </c>
      <c r="C42">
        <f>AVERAGE(C23:C25)</f>
        <v>92.409046214355953</v>
      </c>
      <c r="D42">
        <f t="shared" ref="D42:I42" si="10">AVERAGE(D23:D25)</f>
        <v>92.232055063913478</v>
      </c>
      <c r="E42">
        <f t="shared" si="10"/>
        <v>91.632251720747306</v>
      </c>
      <c r="F42">
        <f t="shared" si="10"/>
        <v>89.321533923303832</v>
      </c>
      <c r="G42">
        <f t="shared" si="10"/>
        <v>83.779732811990883</v>
      </c>
      <c r="H42">
        <f t="shared" si="10"/>
        <v>54.341646554035925</v>
      </c>
      <c r="I42">
        <f t="shared" si="10"/>
        <v>39.132893306458818</v>
      </c>
      <c r="L42" t="str">
        <f t="shared" si="3"/>
        <v xml:space="preserve">    92.409046214356, 92.2320550639135, 91.6322517207473, 89.3215339233038, 83.7797328119909, 54.3416465540359, 39.1328933064588,</v>
      </c>
    </row>
    <row r="43" spans="1:12">
      <c r="B43" t="s">
        <v>41</v>
      </c>
      <c r="C43">
        <f>AVERAGE(C26:C28)</f>
        <v>88.593903638151417</v>
      </c>
      <c r="D43">
        <f t="shared" ref="D43:I43" si="11">AVERAGE(D26:D28)</f>
        <v>85.988200589970504</v>
      </c>
      <c r="E43">
        <f t="shared" si="11"/>
        <v>84.916478516250152</v>
      </c>
      <c r="F43">
        <f t="shared" si="11"/>
        <v>84.434611602753193</v>
      </c>
      <c r="G43">
        <f t="shared" si="11"/>
        <v>81.116301467429068</v>
      </c>
      <c r="H43">
        <f t="shared" si="11"/>
        <v>63.549886533043825</v>
      </c>
      <c r="I43">
        <f t="shared" si="11"/>
        <v>53.646484831183663</v>
      </c>
      <c r="L43" t="str">
        <f t="shared" si="3"/>
        <v xml:space="preserve">    88.5939036381514, 85.9882005899705, 84.9164785162502, 84.4346116027532, 81.1163014674291, 63.5498865330438, 53.6464848311837,</v>
      </c>
    </row>
    <row r="44" spans="1:12">
      <c r="B44" t="s">
        <v>42</v>
      </c>
      <c r="C44">
        <f>AVERAGE(C29:C31)</f>
        <v>98.810226155358876</v>
      </c>
      <c r="D44">
        <f t="shared" ref="D44:I44" si="12">AVERAGE(D29:D31)</f>
        <v>97.295968534906592</v>
      </c>
      <c r="E44">
        <f t="shared" si="12"/>
        <v>96.548672566371678</v>
      </c>
      <c r="F44">
        <f t="shared" si="12"/>
        <v>94.670599803343165</v>
      </c>
      <c r="G44">
        <f t="shared" si="12"/>
        <v>90.885417117218424</v>
      </c>
      <c r="H44">
        <f t="shared" si="12"/>
        <v>79.554811604483319</v>
      </c>
      <c r="I44">
        <f t="shared" si="12"/>
        <v>57.94877118314173</v>
      </c>
      <c r="L44" t="str">
        <f t="shared" si="3"/>
        <v xml:space="preserve">    98.8102261553589, 97.2959685349066, 96.5486725663717, 94.6705998033432, 90.8854171172184, 79.5548116044833, 57.9487711831417,</v>
      </c>
    </row>
    <row r="45" spans="1:12">
      <c r="B45" t="s">
        <v>32</v>
      </c>
      <c r="C45">
        <f>AVERAGE(C35:C44)</f>
        <v>93.463126843657818</v>
      </c>
      <c r="D45">
        <f t="shared" ref="D45:I45" si="13">AVERAGE(D35:D44)</f>
        <v>92.175059184479679</v>
      </c>
      <c r="E45">
        <f t="shared" si="13"/>
        <v>91.653982012531827</v>
      </c>
      <c r="F45">
        <f t="shared" si="13"/>
        <v>89.16407004674204</v>
      </c>
      <c r="G45">
        <f t="shared" si="13"/>
        <v>84.651389717904138</v>
      </c>
      <c r="H45">
        <f t="shared" si="13"/>
        <v>64.461719680389393</v>
      </c>
      <c r="I45">
        <f t="shared" si="13"/>
        <v>47.54779308932892</v>
      </c>
      <c r="L45" t="str">
        <f t="shared" si="3"/>
        <v xml:space="preserve">    93.4631268436578, 92.1750591844797, 91.6539820125318, 89.164070046742, 84.6513897179041, 64.4617196803894, 47.5477930893289,</v>
      </c>
    </row>
    <row r="47" spans="1:12">
      <c r="C47">
        <f>_xlfn.STDEV.P(C35:C44)</f>
        <v>2.7738228560952867</v>
      </c>
      <c r="D47">
        <f t="shared" ref="D47:I47" si="14">_xlfn.STDEV.P(D35:D44)</f>
        <v>3.362651131442806</v>
      </c>
      <c r="E47">
        <f t="shared" si="14"/>
        <v>3.3274754610892332</v>
      </c>
      <c r="F47">
        <f t="shared" si="14"/>
        <v>3.0805108827360437</v>
      </c>
      <c r="G47">
        <f t="shared" si="14"/>
        <v>3.5516353842158561</v>
      </c>
      <c r="H47">
        <f t="shared" si="14"/>
        <v>6.6491660900050649</v>
      </c>
      <c r="I47">
        <f t="shared" si="14"/>
        <v>5.3058052137179441</v>
      </c>
    </row>
  </sheetData>
  <phoneticPr fontId="1" type="noConversion"/>
  <conditionalFormatting sqref="C35:I4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4D4E-3C3B-4A59-BDCE-32789F000227}">
  <dimension ref="A1:L47"/>
  <sheetViews>
    <sheetView workbookViewId="0"/>
  </sheetViews>
  <sheetFormatPr defaultRowHeight="14.25"/>
  <sheetData>
    <row r="1" spans="1:12" ht="15" thickBot="1">
      <c r="A1" s="4" t="s">
        <v>45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88.849557522123888</v>
      </c>
      <c r="D2">
        <v>90</v>
      </c>
      <c r="E2">
        <v>89.498525073746322</v>
      </c>
      <c r="F2">
        <v>88.289085545722713</v>
      </c>
      <c r="G2">
        <v>84.809470670161517</v>
      </c>
      <c r="H2">
        <v>61.325617003607292</v>
      </c>
      <c r="I2">
        <v>50.018252753051499</v>
      </c>
      <c r="L2" t="str">
        <f t="shared" ref="L2:L31" si="0">"    "&amp;_xlfn.TEXTJOIN(", ",TRUE,C2:I2)&amp;","</f>
        <v xml:space="preserve">    88.8495575221239, 90, 89.4985250737463, 88.2890855457227, 84.8094706701615, 61.3256170036073, 50.0182527530515,</v>
      </c>
    </row>
    <row r="3" spans="1:12">
      <c r="B3" t="s">
        <v>1</v>
      </c>
      <c r="C3">
        <v>94.542772861356937</v>
      </c>
      <c r="D3">
        <v>93.126843657817105</v>
      </c>
      <c r="E3">
        <v>92.861356932153399</v>
      </c>
      <c r="F3">
        <v>91.356932153392322</v>
      </c>
      <c r="G3">
        <v>89.941175961729783</v>
      </c>
      <c r="H3">
        <v>65.031444908692976</v>
      </c>
      <c r="I3">
        <v>54.042162994489573</v>
      </c>
      <c r="L3" t="str">
        <f t="shared" si="0"/>
        <v xml:space="preserve">    94.5427728613569, 93.1268436578171, 92.8613569321534, 91.3569321533923, 89.9411759617298, 65.031444908693, 54.0421629944896,</v>
      </c>
    </row>
    <row r="4" spans="1:12">
      <c r="B4" t="s">
        <v>2</v>
      </c>
      <c r="C4">
        <v>88.790560471976406</v>
      </c>
      <c r="D4">
        <v>88.790560471976406</v>
      </c>
      <c r="E4">
        <v>88.967551622418881</v>
      </c>
      <c r="F4">
        <v>87.876106194690266</v>
      </c>
      <c r="G4">
        <v>83.304180832014112</v>
      </c>
      <c r="H4">
        <v>70.294725732921563</v>
      </c>
      <c r="I4">
        <v>46.913727627401627</v>
      </c>
      <c r="L4" t="str">
        <f t="shared" si="0"/>
        <v xml:space="preserve">    88.7905604719764, 88.7905604719764, 88.9675516224189, 87.8761061946903, 83.3041808320141, 70.2947257329216, 46.9137276274016,</v>
      </c>
    </row>
    <row r="5" spans="1:12">
      <c r="B5" t="s">
        <v>3</v>
      </c>
      <c r="C5">
        <v>91.710914454277287</v>
      </c>
      <c r="D5">
        <v>90.796633188868412</v>
      </c>
      <c r="E5">
        <v>91.209439528023594</v>
      </c>
      <c r="F5">
        <v>87.583543110234515</v>
      </c>
      <c r="G5">
        <v>84.130139534079007</v>
      </c>
      <c r="H5">
        <v>66.324016643742596</v>
      </c>
      <c r="I5">
        <v>44.604019065908872</v>
      </c>
      <c r="L5" t="str">
        <f t="shared" si="0"/>
        <v xml:space="preserve">    91.7109144542773, 90.7966331888684, 91.2094395280236, 87.5835431102345, 84.130139534079, 66.3240166437426, 44.6040190659089,</v>
      </c>
    </row>
    <row r="6" spans="1:12">
      <c r="B6" t="s">
        <v>4</v>
      </c>
      <c r="C6">
        <v>95.722713864306783</v>
      </c>
      <c r="D6">
        <v>93.923303834808252</v>
      </c>
      <c r="E6">
        <v>94.247787610619469</v>
      </c>
      <c r="F6">
        <v>90.855457227138643</v>
      </c>
      <c r="G6">
        <v>89.174214309812371</v>
      </c>
      <c r="H6">
        <v>65.144767688301812</v>
      </c>
      <c r="I6">
        <v>47.137431984705749</v>
      </c>
      <c r="L6" t="str">
        <f t="shared" si="0"/>
        <v xml:space="preserve">    95.7227138643068, 93.9233038348083, 94.2477876106195, 90.8554572271386, 89.1742143098124, 65.1447676883018, 47.1374319847057,</v>
      </c>
    </row>
    <row r="7" spans="1:12">
      <c r="B7" t="s">
        <v>5</v>
      </c>
      <c r="C7">
        <v>94.100294985250741</v>
      </c>
      <c r="D7">
        <v>93.303834808259595</v>
      </c>
      <c r="E7">
        <v>93.74631268436579</v>
      </c>
      <c r="F7">
        <v>92.654867256637175</v>
      </c>
      <c r="G7">
        <v>84.802809712886784</v>
      </c>
      <c r="H7">
        <v>58.306127215633353</v>
      </c>
      <c r="I7">
        <v>43.397520739798793</v>
      </c>
      <c r="L7" t="str">
        <f t="shared" si="0"/>
        <v xml:space="preserve">    94.1002949852507, 93.3038348082596, 93.7463126843658, 92.6548672566372, 84.8028097128868, 58.3061272156334, 43.3975207397988,</v>
      </c>
    </row>
    <row r="8" spans="1:12">
      <c r="B8" t="s">
        <v>6</v>
      </c>
      <c r="C8">
        <v>92.30088495575221</v>
      </c>
      <c r="D8">
        <v>92.005899705014741</v>
      </c>
      <c r="E8">
        <v>92.448377581120937</v>
      </c>
      <c r="F8">
        <v>89.587020648967552</v>
      </c>
      <c r="G8">
        <v>84.519848787619267</v>
      </c>
      <c r="H8">
        <v>68.547392278479919</v>
      </c>
      <c r="I8">
        <v>62.077267104386713</v>
      </c>
      <c r="L8" t="str">
        <f t="shared" si="0"/>
        <v xml:space="preserve">    92.3008849557522, 92.0058997050147, 92.4483775811209, 89.5870206489676, 84.5198487876193, 68.5473922784799, 62.0772671043867,</v>
      </c>
    </row>
    <row r="9" spans="1:12">
      <c r="B9" t="s">
        <v>7</v>
      </c>
      <c r="C9">
        <v>98.17109144542772</v>
      </c>
      <c r="D9">
        <v>97.43362831858407</v>
      </c>
      <c r="E9">
        <v>96.224188790560476</v>
      </c>
      <c r="F9">
        <v>96.283531864462503</v>
      </c>
      <c r="G9">
        <v>94.336283185840699</v>
      </c>
      <c r="H9">
        <v>68.103011271723801</v>
      </c>
      <c r="I9">
        <v>48.561838770231567</v>
      </c>
      <c r="L9" t="str">
        <f t="shared" si="0"/>
        <v xml:space="preserve">    98.1710914454277, 97.4336283185841, 96.2241887905605, 96.2835318644625, 94.3362831858407, 68.1030112717238, 48.5618387702316,</v>
      </c>
    </row>
    <row r="10" spans="1:12">
      <c r="B10" t="s">
        <v>8</v>
      </c>
      <c r="C10">
        <v>97.994100294985259</v>
      </c>
      <c r="D10">
        <v>97.168141592920364</v>
      </c>
      <c r="E10">
        <v>97.109144542772853</v>
      </c>
      <c r="F10">
        <v>95.339233038348084</v>
      </c>
      <c r="G10">
        <v>92.477876106194685</v>
      </c>
      <c r="H10">
        <v>72.523291723976854</v>
      </c>
      <c r="I10">
        <v>55.205667869099223</v>
      </c>
      <c r="L10" t="str">
        <f t="shared" si="0"/>
        <v xml:space="preserve">    97.9941002949853, 97.1681415929204, 97.1091445427729, 95.3392330383481, 92.4778761061947, 72.5232917239769, 55.2056678690992,</v>
      </c>
    </row>
    <row r="11" spans="1:12">
      <c r="B11" t="s">
        <v>9</v>
      </c>
      <c r="C11">
        <v>95.929203539823021</v>
      </c>
      <c r="D11">
        <v>96.135693215339231</v>
      </c>
      <c r="E11">
        <v>95.87020648967551</v>
      </c>
      <c r="F11">
        <v>92.802359882005902</v>
      </c>
      <c r="G11">
        <v>92.242060917481993</v>
      </c>
      <c r="H11">
        <v>71.893874514485418</v>
      </c>
      <c r="I11">
        <v>41.95728336750318</v>
      </c>
      <c r="L11" t="str">
        <f t="shared" si="0"/>
        <v xml:space="preserve">    95.929203539823, 96.1356932153392, 95.8702064896755, 92.8023598820059, 92.242060917482, 71.8938745144854, 41.9572833675032,</v>
      </c>
    </row>
    <row r="12" spans="1:12">
      <c r="B12" t="s">
        <v>10</v>
      </c>
      <c r="C12">
        <v>91.209439528023594</v>
      </c>
      <c r="D12">
        <v>90.707964601769916</v>
      </c>
      <c r="E12">
        <v>89.528023598820056</v>
      </c>
      <c r="F12">
        <v>89.233038348082601</v>
      </c>
      <c r="G12">
        <v>85.191740412979357</v>
      </c>
      <c r="H12">
        <v>69.548092976582851</v>
      </c>
      <c r="I12">
        <v>45.105320980285299</v>
      </c>
      <c r="L12" t="str">
        <f t="shared" si="0"/>
        <v xml:space="preserve">    91.2094395280236, 90.7079646017699, 89.5280235988201, 89.2330383480826, 85.1917404129794, 69.5480929765829, 45.1053209802853,</v>
      </c>
    </row>
    <row r="13" spans="1:12">
      <c r="B13" t="s">
        <v>11</v>
      </c>
      <c r="C13">
        <v>95.958702064896755</v>
      </c>
      <c r="D13">
        <v>94.837758112094406</v>
      </c>
      <c r="E13">
        <v>94.100294985250741</v>
      </c>
      <c r="F13">
        <v>91.891365842265074</v>
      </c>
      <c r="G13">
        <v>92.360055017776972</v>
      </c>
      <c r="H13">
        <v>71.067396776788726</v>
      </c>
      <c r="I13">
        <v>53.059369025683608</v>
      </c>
      <c r="L13" t="str">
        <f t="shared" si="0"/>
        <v xml:space="preserve">    95.9587020648968, 94.8377581120944, 94.1002949852507, 91.8913658422651, 92.360055017777, 71.0673967767887, 53.0593690256836,</v>
      </c>
    </row>
    <row r="14" spans="1:12">
      <c r="B14" t="s">
        <v>12</v>
      </c>
      <c r="C14">
        <v>88.731563421828909</v>
      </c>
      <c r="D14">
        <v>89.144542772861357</v>
      </c>
      <c r="E14">
        <v>86.696165191740405</v>
      </c>
      <c r="F14">
        <v>86.725663716814168</v>
      </c>
      <c r="G14">
        <v>83.628318584070797</v>
      </c>
      <c r="H14">
        <v>64.247528092803577</v>
      </c>
      <c r="I14">
        <v>48.385539667298161</v>
      </c>
      <c r="L14" t="str">
        <f t="shared" si="0"/>
        <v xml:space="preserve">    88.7315634218289, 89.1445427728614, 86.6961651917404, 86.7256637168142, 83.6283185840708, 64.2475280928036, 48.3855396672982,</v>
      </c>
    </row>
    <row r="15" spans="1:12">
      <c r="B15" t="s">
        <v>13</v>
      </c>
      <c r="C15">
        <v>91.681415929203538</v>
      </c>
      <c r="D15">
        <v>91.091445427728615</v>
      </c>
      <c r="E15">
        <v>91.65191740412979</v>
      </c>
      <c r="F15">
        <v>90.088495575221231</v>
      </c>
      <c r="G15">
        <v>82.235053936452729</v>
      </c>
      <c r="H15">
        <v>56.268825854894942</v>
      </c>
      <c r="I15">
        <v>42.252787653872439</v>
      </c>
      <c r="L15" t="str">
        <f t="shared" si="0"/>
        <v xml:space="preserve">    91.6814159292035, 91.0914454277286, 91.6519174041298, 90.0884955752212, 82.2350539364527, 56.2688258548949, 42.2527876538724,</v>
      </c>
    </row>
    <row r="16" spans="1:12">
      <c r="B16" t="s">
        <v>14</v>
      </c>
      <c r="C16">
        <v>91.710914454277287</v>
      </c>
      <c r="D16">
        <v>86.342182890855469</v>
      </c>
      <c r="E16">
        <v>86.401179941002951</v>
      </c>
      <c r="F16">
        <v>82.450799747402669</v>
      </c>
      <c r="G16">
        <v>79.065043815257923</v>
      </c>
      <c r="H16">
        <v>60.038927672384723</v>
      </c>
      <c r="I16">
        <v>45.986989506829637</v>
      </c>
      <c r="L16" t="str">
        <f t="shared" si="0"/>
        <v xml:space="preserve">    91.7109144542773, 86.3421828908555, 86.401179941003, 82.4507997474027, 79.0650438152579, 60.0389276723847, 45.9869895068296,</v>
      </c>
    </row>
    <row r="17" spans="2:12">
      <c r="B17" t="s">
        <v>15</v>
      </c>
      <c r="C17">
        <v>96.961651917404126</v>
      </c>
      <c r="D17">
        <v>94.39528023598821</v>
      </c>
      <c r="E17">
        <v>93.48082595870207</v>
      </c>
      <c r="F17">
        <v>90.560471976401175</v>
      </c>
      <c r="G17">
        <v>88.112094395280238</v>
      </c>
      <c r="H17">
        <v>65.971591449753035</v>
      </c>
      <c r="I17">
        <v>47.011652349933819</v>
      </c>
      <c r="L17" t="str">
        <f t="shared" si="0"/>
        <v xml:space="preserve">    96.9616519174041, 94.3952802359882, 93.4808259587021, 90.5604719764012, 88.1120943952802, 65.971591449753, 47.0116523499338,</v>
      </c>
    </row>
    <row r="18" spans="2:12">
      <c r="B18" t="s">
        <v>16</v>
      </c>
      <c r="C18">
        <v>92.949852507374629</v>
      </c>
      <c r="D18">
        <v>93.747004731874839</v>
      </c>
      <c r="E18">
        <v>91.977958286836397</v>
      </c>
      <c r="F18">
        <v>88.732255469337971</v>
      </c>
      <c r="G18">
        <v>80.985562158842214</v>
      </c>
      <c r="H18">
        <v>60.574745456275572</v>
      </c>
      <c r="I18">
        <v>49.815655844773737</v>
      </c>
      <c r="L18" t="str">
        <f t="shared" si="0"/>
        <v xml:space="preserve">    92.9498525073746, 93.7470047318748, 91.9779582868364, 88.732255469338, 80.9855621588422, 60.5747454562756, 49.8156558447737,</v>
      </c>
    </row>
    <row r="19" spans="2:12">
      <c r="B19" t="s">
        <v>17</v>
      </c>
      <c r="C19">
        <v>97.43362831858407</v>
      </c>
      <c r="D19">
        <v>95.368731563421832</v>
      </c>
      <c r="E19">
        <v>94.86725663716814</v>
      </c>
      <c r="F19">
        <v>91.179941002949846</v>
      </c>
      <c r="G19">
        <v>87.141757281637382</v>
      </c>
      <c r="H19">
        <v>71.851573110494044</v>
      </c>
      <c r="I19">
        <v>56.270555973667591</v>
      </c>
      <c r="L19" t="str">
        <f t="shared" si="0"/>
        <v xml:space="preserve">    97.4336283185841, 95.3687315634218, 94.8672566371681, 91.1799410029498, 87.1417572816374, 71.851573110494, 56.2705559736676,</v>
      </c>
    </row>
    <row r="20" spans="2:12">
      <c r="B20" t="s">
        <v>18</v>
      </c>
      <c r="C20">
        <v>93.097345132743357</v>
      </c>
      <c r="D20">
        <v>93.510324483775804</v>
      </c>
      <c r="E20">
        <v>92.536873156342182</v>
      </c>
      <c r="F20">
        <v>91.887905604719762</v>
      </c>
      <c r="G20">
        <v>87.345132743362825</v>
      </c>
      <c r="H20">
        <v>61.350271196117617</v>
      </c>
      <c r="I20">
        <v>44.844505575307743</v>
      </c>
      <c r="L20" t="str">
        <f t="shared" si="0"/>
        <v xml:space="preserve">    93.0973451327434, 93.5103244837758, 92.5368731563422, 91.8879056047198, 87.3451327433628, 61.3502711961176, 44.8445055753077,</v>
      </c>
    </row>
    <row r="21" spans="2:12">
      <c r="B21" t="s">
        <v>19</v>
      </c>
      <c r="C21">
        <v>89.203539823008853</v>
      </c>
      <c r="D21">
        <v>84.21828908554572</v>
      </c>
      <c r="E21">
        <v>84.188790560471972</v>
      </c>
      <c r="F21">
        <v>82.005899705014741</v>
      </c>
      <c r="G21">
        <v>77.231636951876752</v>
      </c>
      <c r="H21">
        <v>62.372425367001448</v>
      </c>
      <c r="I21">
        <v>48.732255469337971</v>
      </c>
      <c r="L21" t="str">
        <f t="shared" si="0"/>
        <v xml:space="preserve">    89.2035398230089, 84.2182890855457, 84.188790560472, 82.0058997050147, 77.2316369518768, 62.3724253670014, 48.732255469338,</v>
      </c>
    </row>
    <row r="22" spans="2:12">
      <c r="B22" t="s">
        <v>20</v>
      </c>
      <c r="C22">
        <v>94.631268436578168</v>
      </c>
      <c r="D22">
        <v>94.070796460176979</v>
      </c>
      <c r="E22">
        <v>92.182890855457231</v>
      </c>
      <c r="F22">
        <v>90.565662332719143</v>
      </c>
      <c r="G22">
        <v>85.202294137492544</v>
      </c>
      <c r="H22">
        <v>68.053702886703178</v>
      </c>
      <c r="I22">
        <v>53.823908511319303</v>
      </c>
      <c r="L22" t="str">
        <f t="shared" si="0"/>
        <v xml:space="preserve">    94.6312684365782, 94.070796460177, 92.1828908554572, 90.5656623327191, 85.2022941374925, 68.0537028867032, 53.8239085113193,</v>
      </c>
    </row>
    <row r="23" spans="2:12">
      <c r="B23" t="s">
        <v>21</v>
      </c>
      <c r="C23">
        <v>92.507374631268434</v>
      </c>
      <c r="D23">
        <v>91.56342182890856</v>
      </c>
      <c r="E23">
        <v>91.209439528023594</v>
      </c>
      <c r="F23">
        <v>81.976401179941007</v>
      </c>
      <c r="G23">
        <v>76.06847810102164</v>
      </c>
      <c r="H23">
        <v>58.419103971487637</v>
      </c>
      <c r="I23">
        <v>36.496076955683009</v>
      </c>
      <c r="L23" t="str">
        <f t="shared" si="0"/>
        <v xml:space="preserve">    92.5073746312684, 91.5634218289086, 91.2094395280236, 81.976401179941, 76.0684781010216, 58.4191039714876, 36.496076955683,</v>
      </c>
    </row>
    <row r="24" spans="2:12">
      <c r="B24" t="s">
        <v>22</v>
      </c>
      <c r="C24">
        <v>92.920353982300895</v>
      </c>
      <c r="D24">
        <v>94.188790560471972</v>
      </c>
      <c r="E24">
        <v>94.365781710914447</v>
      </c>
      <c r="F24">
        <v>90</v>
      </c>
      <c r="G24">
        <v>86.612167925328066</v>
      </c>
      <c r="H24">
        <v>69.525168902845181</v>
      </c>
      <c r="I24">
        <v>35.470895076947031</v>
      </c>
      <c r="L24" t="str">
        <f t="shared" si="0"/>
        <v xml:space="preserve">    92.9203539823009, 94.188790560472, 94.3657817109144, 90, 86.6121679253281, 69.5251689028452, 35.470895076947,</v>
      </c>
    </row>
    <row r="25" spans="2:12">
      <c r="B25" t="s">
        <v>23</v>
      </c>
      <c r="C25">
        <v>93.952802359882</v>
      </c>
      <c r="D25">
        <v>92.389380530973455</v>
      </c>
      <c r="E25">
        <v>91.976401179941007</v>
      </c>
      <c r="F25">
        <v>90.206489675516224</v>
      </c>
      <c r="G25">
        <v>88.407771693526769</v>
      </c>
      <c r="H25">
        <v>65.691571726399019</v>
      </c>
      <c r="I25">
        <v>42.779262796390967</v>
      </c>
      <c r="L25" t="str">
        <f t="shared" si="0"/>
        <v xml:space="preserve">    93.952802359882, 92.3893805309735, 91.976401179941, 90.2064896755162, 88.4077716935268, 65.691571726399, 42.779262796391,</v>
      </c>
    </row>
    <row r="26" spans="2:12">
      <c r="B26" t="s">
        <v>24</v>
      </c>
      <c r="C26">
        <v>93.097345132743357</v>
      </c>
      <c r="D26">
        <v>90.471976401179944</v>
      </c>
      <c r="E26">
        <v>88.112613430912035</v>
      </c>
      <c r="F26">
        <v>88.466076696165189</v>
      </c>
      <c r="G26">
        <v>87.315807230166357</v>
      </c>
      <c r="H26">
        <v>68.846529814271747</v>
      </c>
      <c r="I26">
        <v>62.729175857922641</v>
      </c>
      <c r="L26" t="str">
        <f t="shared" si="0"/>
        <v xml:space="preserve">    93.0973451327434, 90.4719764011799, 88.112613430912, 88.4660766961652, 87.3158072301664, 68.8465298142717, 62.7291758579226,</v>
      </c>
    </row>
    <row r="27" spans="2:12">
      <c r="B27" t="s">
        <v>25</v>
      </c>
      <c r="C27">
        <v>84.070796460176979</v>
      </c>
      <c r="D27">
        <v>84.159292035398238</v>
      </c>
      <c r="E27">
        <v>83.21533923303835</v>
      </c>
      <c r="F27">
        <v>81.56342182890856</v>
      </c>
      <c r="G27">
        <v>78.466249708042454</v>
      </c>
      <c r="H27">
        <v>59.384596752567063</v>
      </c>
      <c r="I27">
        <v>53.126324622185322</v>
      </c>
      <c r="L27" t="str">
        <f t="shared" si="0"/>
        <v xml:space="preserve">    84.070796460177, 84.1592920353982, 83.2153392330383, 81.5634218289086, 78.4662497080425, 59.3845967525671, 53.1263246221853,</v>
      </c>
    </row>
    <row r="28" spans="2:12">
      <c r="B28" t="s">
        <v>26</v>
      </c>
      <c r="C28">
        <v>87.286135693215343</v>
      </c>
      <c r="D28">
        <v>85.280235988200587</v>
      </c>
      <c r="E28">
        <v>84.070796460176979</v>
      </c>
      <c r="F28">
        <v>82.035398230088489</v>
      </c>
      <c r="G28">
        <v>74.755231446638817</v>
      </c>
      <c r="H28">
        <v>63.86093305305409</v>
      </c>
      <c r="I28">
        <v>49.890310469813762</v>
      </c>
      <c r="L28" t="str">
        <f t="shared" si="0"/>
        <v xml:space="preserve">    87.2861356932153, 85.2802359882006, 84.070796460177, 82.0353982300885, 74.7552314466388, 63.8609330530541, 49.8903104698138,</v>
      </c>
    </row>
    <row r="29" spans="2:12">
      <c r="B29" t="s">
        <v>27</v>
      </c>
      <c r="C29">
        <v>98.554572271386434</v>
      </c>
      <c r="D29">
        <v>98.466076696165189</v>
      </c>
      <c r="E29">
        <v>97.669616519174042</v>
      </c>
      <c r="F29">
        <v>96.430678466076699</v>
      </c>
      <c r="G29">
        <v>90.589970501474937</v>
      </c>
      <c r="H29">
        <v>74.217164508343501</v>
      </c>
      <c r="I29">
        <v>58.878710023443112</v>
      </c>
      <c r="L29" t="str">
        <f t="shared" si="0"/>
        <v xml:space="preserve">    98.5545722713864, 98.4660766961652, 97.669616519174, 96.4306784660767, 90.5899705014749, 74.2171645083435, 58.8787100234431,</v>
      </c>
    </row>
    <row r="30" spans="2:12">
      <c r="B30" t="s">
        <v>28</v>
      </c>
      <c r="C30">
        <v>99.557522123893804</v>
      </c>
      <c r="D30">
        <v>97.492625368731566</v>
      </c>
      <c r="E30">
        <v>95.959048088651286</v>
      </c>
      <c r="F30">
        <v>94.247787610619469</v>
      </c>
      <c r="G30">
        <v>91.268436578171091</v>
      </c>
      <c r="H30">
        <v>83.372866547288467</v>
      </c>
      <c r="I30">
        <v>61.671727264076672</v>
      </c>
      <c r="L30" t="str">
        <f t="shared" si="0"/>
        <v xml:space="preserve">    99.5575221238938, 97.4926253687316, 95.9590480886513, 94.2477876106195, 91.2684365781711, 83.3728665472885, 61.6717272640767,</v>
      </c>
    </row>
    <row r="31" spans="2:12">
      <c r="B31" t="s">
        <v>29</v>
      </c>
      <c r="C31">
        <v>96.78466076696165</v>
      </c>
      <c r="D31">
        <v>97.404129793510322</v>
      </c>
      <c r="E31">
        <v>98.17109144542772</v>
      </c>
      <c r="F31">
        <v>97.050147492625371</v>
      </c>
      <c r="G31">
        <v>96.401179941002951</v>
      </c>
      <c r="H31">
        <v>86.385349354233171</v>
      </c>
      <c r="I31">
        <v>56.424450038495138</v>
      </c>
      <c r="L31" t="str">
        <f t="shared" si="0"/>
        <v xml:space="preserve">    96.7846607669617, 97.4041297935103, 98.1710914454277, 97.0501474926254, 96.401179941003, 86.3853493542332, 56.4244500384951,</v>
      </c>
    </row>
    <row r="32" spans="2:12">
      <c r="B32" t="s">
        <v>32</v>
      </c>
      <c r="C32">
        <f>AVERAGE(C2:C31)</f>
        <v>93.347099311701058</v>
      </c>
      <c r="D32">
        <f t="shared" ref="D32:I32" si="1">AVERAGE(D2:D31)</f>
        <v>92.384492945440712</v>
      </c>
      <c r="E32">
        <f t="shared" si="1"/>
        <v>91.818173167587958</v>
      </c>
      <c r="F32">
        <f t="shared" si="1"/>
        <v>89.664201247415633</v>
      </c>
      <c r="G32">
        <f t="shared" si="1"/>
        <v>85.937401419274096</v>
      </c>
      <c r="H32">
        <f t="shared" si="1"/>
        <v>66.951421148395156</v>
      </c>
      <c r="I32">
        <f t="shared" si="1"/>
        <v>49.55568819799479</v>
      </c>
    </row>
    <row r="33" spans="1:12" ht="15" thickBot="1"/>
    <row r="34" spans="1:12" ht="15" thickBot="1">
      <c r="A34" s="4" t="s">
        <v>45</v>
      </c>
      <c r="B34" s="3" t="s">
        <v>30</v>
      </c>
      <c r="C34" s="1">
        <v>1</v>
      </c>
      <c r="D34" s="1">
        <v>0.75</v>
      </c>
      <c r="E34" s="1">
        <v>0.5</v>
      </c>
      <c r="F34" s="1">
        <v>0.3</v>
      </c>
      <c r="G34" s="1">
        <v>0.2</v>
      </c>
      <c r="H34" s="1">
        <v>0.1</v>
      </c>
      <c r="I34" s="2">
        <v>0.05</v>
      </c>
    </row>
    <row r="35" spans="1:12">
      <c r="B35" t="s">
        <v>33</v>
      </c>
      <c r="C35">
        <f>AVERAGE(C2:C4)</f>
        <v>90.727630285152415</v>
      </c>
      <c r="D35">
        <f t="shared" ref="D35:I35" si="2">AVERAGE(D2:D4)</f>
        <v>90.63913470993117</v>
      </c>
      <c r="E35">
        <f t="shared" si="2"/>
        <v>90.442477876106196</v>
      </c>
      <c r="F35">
        <f t="shared" si="2"/>
        <v>89.174041297935105</v>
      </c>
      <c r="G35">
        <f t="shared" si="2"/>
        <v>86.018275821301813</v>
      </c>
      <c r="H35">
        <f t="shared" si="2"/>
        <v>65.550595881740605</v>
      </c>
      <c r="I35">
        <f t="shared" si="2"/>
        <v>50.324714458314226</v>
      </c>
      <c r="L35" t="str">
        <f t="shared" ref="L35:L45" si="3">"    "&amp;_xlfn.TEXTJOIN(", ",TRUE,C35:I35)&amp;","</f>
        <v xml:space="preserve">    90.7276302851524, 90.6391347099312, 90.4424778761062, 89.1740412979351, 86.0182758213018, 65.5505958817406, 50.3247144583142,</v>
      </c>
    </row>
    <row r="36" spans="1:12">
      <c r="B36" t="s">
        <v>34</v>
      </c>
      <c r="C36">
        <f>AVERAGE(C5:C7)</f>
        <v>93.84464110127827</v>
      </c>
      <c r="D36">
        <f t="shared" ref="D36:I36" si="4">AVERAGE(D5:D7)</f>
        <v>92.67459061064541</v>
      </c>
      <c r="E36">
        <f t="shared" si="4"/>
        <v>93.067846607669637</v>
      </c>
      <c r="F36">
        <f t="shared" si="4"/>
        <v>90.364622531336792</v>
      </c>
      <c r="G36">
        <f t="shared" si="4"/>
        <v>86.035721185592706</v>
      </c>
      <c r="H36">
        <f t="shared" si="4"/>
        <v>63.258303849225918</v>
      </c>
      <c r="I36">
        <f t="shared" si="4"/>
        <v>45.046323930137795</v>
      </c>
      <c r="L36" t="str">
        <f t="shared" si="3"/>
        <v xml:space="preserve">    93.8446411012783, 92.6745906106454, 93.0678466076696, 90.3646225313368, 86.0357211855927, 63.2583038492259, 45.0463239301378,</v>
      </c>
    </row>
    <row r="37" spans="1:12">
      <c r="B37" t="s">
        <v>35</v>
      </c>
      <c r="C37">
        <f>AVERAGE(C8:C10)</f>
        <v>96.155358898721715</v>
      </c>
      <c r="D37">
        <f t="shared" ref="D37:I37" si="5">AVERAGE(D8:D10)</f>
        <v>95.535889872173058</v>
      </c>
      <c r="E37">
        <f t="shared" si="5"/>
        <v>95.260570304818089</v>
      </c>
      <c r="F37">
        <f t="shared" si="5"/>
        <v>93.736595183926056</v>
      </c>
      <c r="G37">
        <f t="shared" si="5"/>
        <v>90.444669359884884</v>
      </c>
      <c r="H37">
        <f t="shared" si="5"/>
        <v>69.724565091393529</v>
      </c>
      <c r="I37">
        <f t="shared" si="5"/>
        <v>55.28159124790583</v>
      </c>
      <c r="L37" t="str">
        <f t="shared" si="3"/>
        <v xml:space="preserve">    96.1553588987217, 95.5358898721731, 95.2605703048181, 93.7365951839261, 90.4446693598849, 69.7245650913935, 55.2815912479058,</v>
      </c>
    </row>
    <row r="38" spans="1:12">
      <c r="B38" t="s">
        <v>36</v>
      </c>
      <c r="C38">
        <f>AVERAGE(C11:C13)</f>
        <v>94.365781710914462</v>
      </c>
      <c r="D38">
        <f t="shared" ref="D38:I38" si="6">AVERAGE(D11:D13)</f>
        <v>93.893805309734532</v>
      </c>
      <c r="E38">
        <f t="shared" si="6"/>
        <v>93.166175024582103</v>
      </c>
      <c r="F38">
        <f t="shared" si="6"/>
        <v>91.308921357451197</v>
      </c>
      <c r="G38">
        <f t="shared" si="6"/>
        <v>89.931285449412769</v>
      </c>
      <c r="H38">
        <f t="shared" si="6"/>
        <v>70.836454755952332</v>
      </c>
      <c r="I38">
        <f t="shared" si="6"/>
        <v>46.707324457824029</v>
      </c>
      <c r="L38" t="str">
        <f t="shared" si="3"/>
        <v xml:space="preserve">    94.3657817109145, 93.8938053097345, 93.1661750245821, 91.3089213574512, 89.9312854494128, 70.8364547559523, 46.707324457824,</v>
      </c>
    </row>
    <row r="39" spans="1:12">
      <c r="B39" t="s">
        <v>37</v>
      </c>
      <c r="C39">
        <f>AVERAGE(C14:C16)</f>
        <v>90.707964601769916</v>
      </c>
      <c r="D39">
        <f t="shared" ref="D39:I39" si="7">AVERAGE(D14:D16)</f>
        <v>88.859390363815166</v>
      </c>
      <c r="E39">
        <f t="shared" si="7"/>
        <v>88.24975417895773</v>
      </c>
      <c r="F39">
        <f t="shared" si="7"/>
        <v>86.421653013146013</v>
      </c>
      <c r="G39">
        <f t="shared" si="7"/>
        <v>81.642805445260478</v>
      </c>
      <c r="H39">
        <f t="shared" si="7"/>
        <v>60.185093873361076</v>
      </c>
      <c r="I39">
        <f t="shared" si="7"/>
        <v>45.541772276000081</v>
      </c>
      <c r="L39" t="str">
        <f t="shared" si="3"/>
        <v xml:space="preserve">    90.7079646017699, 88.8593903638152, 88.2497541789577, 86.421653013146, 81.6428054452605, 60.1850938733611, 45.5417722760001,</v>
      </c>
    </row>
    <row r="40" spans="1:12">
      <c r="B40" t="s">
        <v>38</v>
      </c>
      <c r="C40">
        <f>AVERAGE(C17:C19)</f>
        <v>95.781710914454266</v>
      </c>
      <c r="D40">
        <f t="shared" ref="D40:I40" si="8">AVERAGE(D17:D19)</f>
        <v>94.50367217709497</v>
      </c>
      <c r="E40">
        <f t="shared" si="8"/>
        <v>93.442013627568869</v>
      </c>
      <c r="F40">
        <f t="shared" si="8"/>
        <v>90.157556149562993</v>
      </c>
      <c r="G40">
        <f t="shared" si="8"/>
        <v>85.413137945253268</v>
      </c>
      <c r="H40">
        <f t="shared" si="8"/>
        <v>66.132636672174215</v>
      </c>
      <c r="I40">
        <f t="shared" si="8"/>
        <v>51.032621389458377</v>
      </c>
      <c r="L40" t="str">
        <f t="shared" si="3"/>
        <v xml:space="preserve">    95.7817109144543, 94.503672177095, 93.4420136275689, 90.157556149563, 85.4131379452533, 66.1326366721742, 51.0326213894584,</v>
      </c>
    </row>
    <row r="41" spans="1:12">
      <c r="B41" t="s">
        <v>39</v>
      </c>
      <c r="C41">
        <f>AVERAGE(C20:C22)</f>
        <v>92.310717797443473</v>
      </c>
      <c r="D41">
        <f t="shared" ref="D41:I41" si="9">AVERAGE(D20:D22)</f>
        <v>90.599803343166172</v>
      </c>
      <c r="E41">
        <f t="shared" si="9"/>
        <v>89.6361848574238</v>
      </c>
      <c r="F41">
        <f t="shared" si="9"/>
        <v>88.153155880817891</v>
      </c>
      <c r="G41">
        <f t="shared" si="9"/>
        <v>83.25968794424405</v>
      </c>
      <c r="H41">
        <f t="shared" si="9"/>
        <v>63.925466483274079</v>
      </c>
      <c r="I41">
        <f t="shared" si="9"/>
        <v>49.133556518655006</v>
      </c>
      <c r="L41" t="str">
        <f t="shared" si="3"/>
        <v xml:space="preserve">    92.3107177974435, 90.5998033431662, 89.6361848574238, 88.1531558808179, 83.259687944244, 63.9254664832741, 49.133556518655,</v>
      </c>
    </row>
    <row r="42" spans="1:12">
      <c r="B42" t="s">
        <v>40</v>
      </c>
      <c r="C42">
        <f>AVERAGE(C23:C25)</f>
        <v>93.126843657817119</v>
      </c>
      <c r="D42">
        <f t="shared" ref="D42:I42" si="10">AVERAGE(D23:D25)</f>
        <v>92.713864306784671</v>
      </c>
      <c r="E42">
        <f t="shared" si="10"/>
        <v>92.517207472959683</v>
      </c>
      <c r="F42">
        <f t="shared" si="10"/>
        <v>87.394296951819072</v>
      </c>
      <c r="G42">
        <f t="shared" si="10"/>
        <v>83.696139239958825</v>
      </c>
      <c r="H42">
        <f t="shared" si="10"/>
        <v>64.545281533577281</v>
      </c>
      <c r="I42">
        <f t="shared" si="10"/>
        <v>38.248744943007004</v>
      </c>
      <c r="L42" t="str">
        <f t="shared" si="3"/>
        <v xml:space="preserve">    93.1268436578171, 92.7138643067847, 92.5172074729597, 87.3942969518191, 83.6961392399588, 64.5452815335773, 38.248744943007,</v>
      </c>
    </row>
    <row r="43" spans="1:12">
      <c r="B43" t="s">
        <v>41</v>
      </c>
      <c r="C43">
        <f>AVERAGE(C26:C28)</f>
        <v>88.151425762045221</v>
      </c>
      <c r="D43">
        <f t="shared" ref="D43:I43" si="11">AVERAGE(D26:D28)</f>
        <v>86.637168141592909</v>
      </c>
      <c r="E43">
        <f t="shared" si="11"/>
        <v>85.132916374709126</v>
      </c>
      <c r="F43">
        <f t="shared" si="11"/>
        <v>84.021632251720746</v>
      </c>
      <c r="G43">
        <f t="shared" si="11"/>
        <v>80.179096128282552</v>
      </c>
      <c r="H43">
        <f t="shared" si="11"/>
        <v>64.030686539964293</v>
      </c>
      <c r="I43">
        <f t="shared" si="11"/>
        <v>55.248603649973909</v>
      </c>
      <c r="L43" t="str">
        <f t="shared" si="3"/>
        <v xml:space="preserve">    88.1514257620452, 86.6371681415929, 85.1329163747091, 84.0216322517207, 80.1790961282826, 64.0306865399643, 55.2486036499739,</v>
      </c>
    </row>
    <row r="44" spans="1:12">
      <c r="B44" t="s">
        <v>42</v>
      </c>
      <c r="C44">
        <f>AVERAGE(C29:C31)</f>
        <v>98.298918387413963</v>
      </c>
      <c r="D44">
        <f t="shared" ref="D44:I44" si="12">AVERAGE(D29:D31)</f>
        <v>97.787610619469021</v>
      </c>
      <c r="E44">
        <f t="shared" si="12"/>
        <v>97.266585351084359</v>
      </c>
      <c r="F44">
        <f t="shared" si="12"/>
        <v>95.909537856440508</v>
      </c>
      <c r="G44">
        <f t="shared" si="12"/>
        <v>92.753195673549669</v>
      </c>
      <c r="H44">
        <f t="shared" si="12"/>
        <v>81.325126803288384</v>
      </c>
      <c r="I44">
        <f t="shared" si="12"/>
        <v>58.991629108671646</v>
      </c>
      <c r="L44" t="str">
        <f t="shared" si="3"/>
        <v xml:space="preserve">    98.298918387414, 97.787610619469, 97.2665853510844, 95.9095378564405, 92.7531956735497, 81.3251268032884, 58.9916291086716,</v>
      </c>
    </row>
    <row r="45" spans="1:12">
      <c r="B45" t="s">
        <v>32</v>
      </c>
      <c r="C45">
        <f>AVERAGE(C35:C44)</f>
        <v>93.347099311701072</v>
      </c>
      <c r="D45">
        <f t="shared" ref="D45:I45" si="13">AVERAGE(D35:D44)</f>
        <v>92.384492945440712</v>
      </c>
      <c r="E45">
        <f t="shared" si="13"/>
        <v>91.818173167587958</v>
      </c>
      <c r="F45">
        <f t="shared" si="13"/>
        <v>89.664201247415647</v>
      </c>
      <c r="G45">
        <f t="shared" si="13"/>
        <v>85.937401419274096</v>
      </c>
      <c r="H45">
        <f t="shared" si="13"/>
        <v>66.951421148395184</v>
      </c>
      <c r="I45">
        <f t="shared" si="13"/>
        <v>49.55568819799479</v>
      </c>
      <c r="L45" t="str">
        <f t="shared" si="3"/>
        <v xml:space="preserve">    93.3470993117011, 92.3844929454407, 91.818173167588, 89.6642012474156, 85.9374014192741, 66.9514211483952, 49.5556881979948,</v>
      </c>
    </row>
    <row r="47" spans="1:12">
      <c r="C47">
        <f>_xlfn.STDEV.P(C35:C44)</f>
        <v>2.8559359624255944</v>
      </c>
      <c r="D47">
        <f t="shared" ref="D47:I47" si="14">_xlfn.STDEV.P(D35:D44)</f>
        <v>3.1269162560862735</v>
      </c>
      <c r="E47">
        <f t="shared" si="14"/>
        <v>3.3484246425803357</v>
      </c>
      <c r="F47">
        <f t="shared" si="14"/>
        <v>3.3023688364392672</v>
      </c>
      <c r="G47">
        <f t="shared" si="14"/>
        <v>3.8315496199563546</v>
      </c>
      <c r="H47">
        <f t="shared" si="14"/>
        <v>5.6117630694166687</v>
      </c>
      <c r="I47">
        <f t="shared" si="14"/>
        <v>5.7409858913157317</v>
      </c>
    </row>
  </sheetData>
  <phoneticPr fontId="1" type="noConversion"/>
  <conditionalFormatting sqref="C35:I4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918A-EF9C-4A0D-91E1-2603CD3B7B34}">
  <dimension ref="A1:L47"/>
  <sheetViews>
    <sheetView workbookViewId="0"/>
  </sheetViews>
  <sheetFormatPr defaultRowHeight="14.25"/>
  <sheetData>
    <row r="1" spans="1:12" ht="15" thickBot="1">
      <c r="A1" s="4" t="s">
        <v>47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88.08259587020649</v>
      </c>
      <c r="D2">
        <v>90.176991150442475</v>
      </c>
      <c r="E2">
        <v>89.174041297935105</v>
      </c>
      <c r="F2">
        <v>86.607669616519175</v>
      </c>
      <c r="G2">
        <v>84.544502980129579</v>
      </c>
      <c r="H2">
        <v>59.859687367537767</v>
      </c>
      <c r="I2">
        <v>49.937023676675402</v>
      </c>
      <c r="L2" t="str">
        <f t="shared" ref="L2:L31" si="0">"    "&amp;_xlfn.TEXTJOIN(", ",TRUE,C2:I2)&amp;","</f>
        <v xml:space="preserve">    88.0825958702065, 90.1769911504425, 89.1740412979351, 86.6076696165192, 84.5445029801296, 59.8596873675378, 49.9370236766754,</v>
      </c>
    </row>
    <row r="3" spans="1:12">
      <c r="B3" t="s">
        <v>1</v>
      </c>
      <c r="C3">
        <v>93.923303834808252</v>
      </c>
      <c r="D3">
        <v>93.392330383480825</v>
      </c>
      <c r="E3">
        <v>91.504424778761063</v>
      </c>
      <c r="F3">
        <v>90.147492625368727</v>
      </c>
      <c r="G3">
        <v>81.803129784859735</v>
      </c>
      <c r="H3">
        <v>57.641329077241153</v>
      </c>
      <c r="I3">
        <v>50.388671182276667</v>
      </c>
      <c r="L3" t="str">
        <f t="shared" si="0"/>
        <v xml:space="preserve">    93.9233038348083, 93.3923303834808, 91.5044247787611, 90.1474926253687, 81.8031297848597, 57.6413290772412, 50.3886711822767,</v>
      </c>
    </row>
    <row r="4" spans="1:12">
      <c r="B4" t="s">
        <v>2</v>
      </c>
      <c r="C4">
        <v>88.112094395280238</v>
      </c>
      <c r="D4">
        <v>88.053097345132741</v>
      </c>
      <c r="E4">
        <v>88.112094395280238</v>
      </c>
      <c r="F4">
        <v>88.259587020648979</v>
      </c>
      <c r="G4">
        <v>87.964601769911511</v>
      </c>
      <c r="H4">
        <v>52.841028036574713</v>
      </c>
      <c r="I4">
        <v>48.917032154257392</v>
      </c>
      <c r="L4" t="str">
        <f t="shared" si="0"/>
        <v xml:space="preserve">    88.1120943952802, 88.0530973451327, 88.1120943952802, 88.259587020649, 87.9646017699115, 52.8410280365747, 48.9170321542574,</v>
      </c>
    </row>
    <row r="5" spans="1:12">
      <c r="B5" t="s">
        <v>3</v>
      </c>
      <c r="C5">
        <v>90.26548672566372</v>
      </c>
      <c r="D5">
        <v>90.177683197951538</v>
      </c>
      <c r="E5">
        <v>89.734513274336294</v>
      </c>
      <c r="F5">
        <v>86.932153392330378</v>
      </c>
      <c r="G5">
        <v>82.721303817507064</v>
      </c>
      <c r="H5">
        <v>50.62552444225296</v>
      </c>
      <c r="I5">
        <v>43.926418048599039</v>
      </c>
      <c r="L5" t="str">
        <f t="shared" si="0"/>
        <v xml:space="preserve">    90.2654867256637, 90.1776831979515, 89.7345132743363, 86.9321533923304, 82.7213038175071, 50.625524442253, 43.926418048599,</v>
      </c>
    </row>
    <row r="6" spans="1:12">
      <c r="B6" t="s">
        <v>4</v>
      </c>
      <c r="C6">
        <v>95.870206489675525</v>
      </c>
      <c r="D6">
        <v>94.483775811209441</v>
      </c>
      <c r="E6">
        <v>94.12979351032449</v>
      </c>
      <c r="F6">
        <v>89.233038348082601</v>
      </c>
      <c r="G6">
        <v>82.831858407079636</v>
      </c>
      <c r="H6">
        <v>49.115736295296671</v>
      </c>
      <c r="I6">
        <v>44.989749046272017</v>
      </c>
      <c r="L6" t="str">
        <f t="shared" si="0"/>
        <v xml:space="preserve">    95.8702064896755, 94.4837758112094, 94.1297935103245, 89.2330383480826, 82.8318584070796, 49.1157362952967, 44.989749046272,</v>
      </c>
    </row>
    <row r="7" spans="1:12">
      <c r="B7" t="s">
        <v>5</v>
      </c>
      <c r="C7">
        <v>92.890855457227147</v>
      </c>
      <c r="D7">
        <v>91.474926253687315</v>
      </c>
      <c r="E7">
        <v>91.002949852507371</v>
      </c>
      <c r="F7">
        <v>91.209439528023594</v>
      </c>
      <c r="G7">
        <v>77.327312520004497</v>
      </c>
      <c r="H7">
        <v>45.195373662401927</v>
      </c>
      <c r="I7">
        <v>40.419899826123057</v>
      </c>
      <c r="L7" t="str">
        <f t="shared" si="0"/>
        <v xml:space="preserve">    92.8908554572271, 91.4749262536873, 91.0029498525074, 91.2094395280236, 77.3273125200045, 45.1953736624019, 40.4198998261231,</v>
      </c>
    </row>
    <row r="8" spans="1:12">
      <c r="B8" t="s">
        <v>6</v>
      </c>
      <c r="C8">
        <v>92.949852507374629</v>
      </c>
      <c r="D8">
        <v>90.766961651917399</v>
      </c>
      <c r="E8">
        <v>91.710914454277287</v>
      </c>
      <c r="F8">
        <v>89.734513274336294</v>
      </c>
      <c r="G8">
        <v>85.398922136004643</v>
      </c>
      <c r="H8">
        <v>65.606536388723086</v>
      </c>
      <c r="I8">
        <v>60.036159482348467</v>
      </c>
      <c r="L8" t="str">
        <f t="shared" si="0"/>
        <v xml:space="preserve">    92.9498525073746, 90.7669616519174, 91.7109144542773, 89.7345132743363, 85.3989221360046, 65.6065363887231, 60.0361594823485,</v>
      </c>
    </row>
    <row r="9" spans="1:12">
      <c r="B9" t="s">
        <v>7</v>
      </c>
      <c r="C9">
        <v>97.197640117994098</v>
      </c>
      <c r="D9">
        <v>97.286135693215343</v>
      </c>
      <c r="E9">
        <v>96.725663716814168</v>
      </c>
      <c r="F9">
        <v>94.86725663716814</v>
      </c>
      <c r="G9">
        <v>89.11539027154214</v>
      </c>
      <c r="H9">
        <v>59.361845690706659</v>
      </c>
      <c r="I9">
        <v>51.796122803830492</v>
      </c>
      <c r="L9" t="str">
        <f t="shared" si="0"/>
        <v xml:space="preserve">    97.1976401179941, 97.2861356932153, 96.7256637168142, 94.8672566371681, 89.1153902715421, 59.3618456907067, 51.7961228038305,</v>
      </c>
    </row>
    <row r="10" spans="1:12">
      <c r="B10" t="s">
        <v>8</v>
      </c>
      <c r="C10">
        <v>97.050147492625371</v>
      </c>
      <c r="D10">
        <v>98.584070796460168</v>
      </c>
      <c r="E10">
        <v>97.551622418879063</v>
      </c>
      <c r="F10">
        <v>95.752212389380531</v>
      </c>
      <c r="G10">
        <v>90.123703492244744</v>
      </c>
      <c r="H10">
        <v>67.930864453844748</v>
      </c>
      <c r="I10">
        <v>51.590498187700589</v>
      </c>
      <c r="L10" t="str">
        <f t="shared" si="0"/>
        <v xml:space="preserve">    97.0501474926254, 98.5840707964602, 97.5516224188791, 95.7522123893805, 90.1237034922447, 67.9308644538447, 51.5904981877006,</v>
      </c>
    </row>
    <row r="11" spans="1:12">
      <c r="B11" t="s">
        <v>9</v>
      </c>
      <c r="C11">
        <v>96.165191740412979</v>
      </c>
      <c r="D11">
        <v>95.87020648967551</v>
      </c>
      <c r="E11">
        <v>95.752212389380531</v>
      </c>
      <c r="F11">
        <v>94.837931123971657</v>
      </c>
      <c r="G11">
        <v>87.001012119481999</v>
      </c>
      <c r="H11">
        <v>56.960267822386001</v>
      </c>
      <c r="I11">
        <v>49.125597972300802</v>
      </c>
      <c r="L11" t="str">
        <f t="shared" si="0"/>
        <v xml:space="preserve">    96.165191740413, 95.8702064896755, 95.7522123893805, 94.8379311239717, 87.001012119482, 56.960267822386, 49.1255979723008,</v>
      </c>
    </row>
    <row r="12" spans="1:12">
      <c r="B12" t="s">
        <v>10</v>
      </c>
      <c r="C12">
        <v>90.855630239015909</v>
      </c>
      <c r="D12">
        <v>90.943952802359874</v>
      </c>
      <c r="E12">
        <v>89.557522123893804</v>
      </c>
      <c r="F12">
        <v>86.489675516224196</v>
      </c>
      <c r="G12">
        <v>75.244076505852121</v>
      </c>
      <c r="H12">
        <v>56.15325392088166</v>
      </c>
      <c r="I12">
        <v>46.462253133677628</v>
      </c>
      <c r="L12" t="str">
        <f t="shared" si="0"/>
        <v xml:space="preserve">    90.8556302390159, 90.9439528023599, 89.5575221238938, 86.4896755162242, 75.2440765058521, 56.1532539208817, 46.4622531336776,</v>
      </c>
    </row>
    <row r="13" spans="1:12">
      <c r="B13" t="s">
        <v>11</v>
      </c>
      <c r="C13">
        <v>95.545722713864308</v>
      </c>
      <c r="D13">
        <v>94.365781710914447</v>
      </c>
      <c r="E13">
        <v>94.424778761061958</v>
      </c>
      <c r="F13">
        <v>91.150442477876112</v>
      </c>
      <c r="G13">
        <v>86.697030251126733</v>
      </c>
      <c r="H13">
        <v>61.020683569927073</v>
      </c>
      <c r="I13">
        <v>50.296715369510117</v>
      </c>
      <c r="L13" t="str">
        <f t="shared" si="0"/>
        <v xml:space="preserve">    95.5457227138643, 94.3657817109144, 94.424778761062, 91.1504424778761, 86.6970302511267, 61.0206835699271, 50.2967153695101,</v>
      </c>
    </row>
    <row r="14" spans="1:12">
      <c r="B14" t="s">
        <v>12</v>
      </c>
      <c r="C14">
        <v>89.587020648967552</v>
      </c>
      <c r="D14">
        <v>89.587020648967552</v>
      </c>
      <c r="E14">
        <v>85.162241887905594</v>
      </c>
      <c r="F14">
        <v>86.194690265486727</v>
      </c>
      <c r="G14">
        <v>79.922058149291956</v>
      </c>
      <c r="H14">
        <v>58.883640861945167</v>
      </c>
      <c r="I14">
        <v>52.943797091670341</v>
      </c>
      <c r="L14" t="str">
        <f t="shared" si="0"/>
        <v xml:space="preserve">    89.5870206489676, 89.5870206489676, 85.1622418879056, 86.1946902654867, 79.922058149292, 58.8836408619452, 52.9437970916703,</v>
      </c>
    </row>
    <row r="15" spans="1:12">
      <c r="B15" t="s">
        <v>13</v>
      </c>
      <c r="C15">
        <v>91.150442477876112</v>
      </c>
      <c r="D15">
        <v>90.530973451327441</v>
      </c>
      <c r="E15">
        <v>90.412979351032448</v>
      </c>
      <c r="F15">
        <v>89.911677436656035</v>
      </c>
      <c r="G15">
        <v>79.989359769548173</v>
      </c>
      <c r="H15">
        <v>49.436413809808037</v>
      </c>
      <c r="I15">
        <v>46.379293938528882</v>
      </c>
      <c r="L15" t="str">
        <f t="shared" si="0"/>
        <v xml:space="preserve">    91.1504424778761, 90.5309734513274, 90.4129793510324, 89.911677436656, 79.9893597695482, 49.436413809808, 46.3792939385289,</v>
      </c>
    </row>
    <row r="16" spans="1:12">
      <c r="B16" t="s">
        <v>14</v>
      </c>
      <c r="C16">
        <v>92.507374631268434</v>
      </c>
      <c r="D16">
        <v>87.492625368731566</v>
      </c>
      <c r="E16">
        <v>88.938053097345147</v>
      </c>
      <c r="F16">
        <v>85.958875076774021</v>
      </c>
      <c r="G16">
        <v>76.581631328990738</v>
      </c>
      <c r="H16">
        <v>50.757965034299602</v>
      </c>
      <c r="I16">
        <v>45.372364812844403</v>
      </c>
      <c r="L16" t="str">
        <f t="shared" si="0"/>
        <v xml:space="preserve">    92.5073746312684, 87.4926253687316, 88.9380530973451, 85.958875076774, 76.5816313289907, 50.7579650342996, 45.3723648128444,</v>
      </c>
    </row>
    <row r="17" spans="2:12">
      <c r="B17" t="s">
        <v>15</v>
      </c>
      <c r="C17">
        <v>95.752212389380531</v>
      </c>
      <c r="D17">
        <v>93.716814159292042</v>
      </c>
      <c r="E17">
        <v>93.067846607669622</v>
      </c>
      <c r="F17">
        <v>90.501474926253678</v>
      </c>
      <c r="G17">
        <v>78.861062811962043</v>
      </c>
      <c r="H17">
        <v>58.736148236576447</v>
      </c>
      <c r="I17">
        <v>50.380539624045191</v>
      </c>
      <c r="L17" t="str">
        <f t="shared" si="0"/>
        <v xml:space="preserve">    95.7522123893805, 93.716814159292, 93.0678466076696, 90.5014749262537, 78.861062811962, 58.7361482365764, 50.3805396240452,</v>
      </c>
    </row>
    <row r="18" spans="2:12">
      <c r="B18" t="s">
        <v>16</v>
      </c>
      <c r="C18">
        <v>93.274336283185832</v>
      </c>
      <c r="D18">
        <v>90.886512859107782</v>
      </c>
      <c r="E18">
        <v>91.121809012188692</v>
      </c>
      <c r="F18">
        <v>89.02983589823441</v>
      </c>
      <c r="G18">
        <v>80.821373887317378</v>
      </c>
      <c r="H18">
        <v>58.697220564191731</v>
      </c>
      <c r="I18">
        <v>56.841062638950163</v>
      </c>
      <c r="L18" t="str">
        <f t="shared" si="0"/>
        <v xml:space="preserve">    93.2743362831858, 90.8865128591078, 91.1218090121887, 89.0298358982344, 80.8213738873174, 58.6972205641917, 56.8410626389502,</v>
      </c>
    </row>
    <row r="19" spans="2:12">
      <c r="B19" t="s">
        <v>17</v>
      </c>
      <c r="C19">
        <v>97.610619469026545</v>
      </c>
      <c r="D19">
        <v>95.339233038348084</v>
      </c>
      <c r="E19">
        <v>93.74631268436579</v>
      </c>
      <c r="F19">
        <v>92.418879056047189</v>
      </c>
      <c r="G19">
        <v>86.372373463438265</v>
      </c>
      <c r="H19">
        <v>67.697990467045571</v>
      </c>
      <c r="I19">
        <v>61.22250192475714</v>
      </c>
      <c r="L19" t="str">
        <f t="shared" si="0"/>
        <v xml:space="preserve">    97.6106194690265, 95.3392330383481, 93.7463126843658, 92.4188790560472, 86.3723734634383, 67.6979904670456, 61.2225019247571,</v>
      </c>
    </row>
    <row r="20" spans="2:12">
      <c r="B20" t="s">
        <v>18</v>
      </c>
      <c r="C20">
        <v>92.153392330383483</v>
      </c>
      <c r="D20">
        <v>93.097345132743357</v>
      </c>
      <c r="E20">
        <v>92.536873156342182</v>
      </c>
      <c r="F20">
        <v>89.882005899705021</v>
      </c>
      <c r="G20">
        <v>87.699288056125056</v>
      </c>
      <c r="H20">
        <v>57.825673232467409</v>
      </c>
      <c r="I20">
        <v>44.425816832325538</v>
      </c>
      <c r="L20" t="str">
        <f t="shared" si="0"/>
        <v xml:space="preserve">    92.1533923303835, 93.0973451327434, 92.5368731563422, 89.882005899705, 87.6992880561251, 57.8256732324674, 44.4258168323255,</v>
      </c>
    </row>
    <row r="21" spans="2:12">
      <c r="B21" t="s">
        <v>19</v>
      </c>
      <c r="C21">
        <v>90.442650887983461</v>
      </c>
      <c r="D21">
        <v>85.368731563421832</v>
      </c>
      <c r="E21">
        <v>85.575221238938042</v>
      </c>
      <c r="F21">
        <v>81.681934964835335</v>
      </c>
      <c r="G21">
        <v>77.648076540454497</v>
      </c>
      <c r="H21">
        <v>55.945034126592788</v>
      </c>
      <c r="I21">
        <v>49.652073114819331</v>
      </c>
      <c r="L21" t="str">
        <f t="shared" si="0"/>
        <v xml:space="preserve">    90.4426508879835, 85.3687315634218, 85.575221238938, 81.6819349648353, 77.6480765404545, 55.9450341265928, 49.6520731148193,</v>
      </c>
    </row>
    <row r="22" spans="2:12">
      <c r="B22" t="s">
        <v>20</v>
      </c>
      <c r="C22">
        <v>95.073746312684364</v>
      </c>
      <c r="D22">
        <v>93.539823008849552</v>
      </c>
      <c r="E22">
        <v>92.890855457227147</v>
      </c>
      <c r="F22">
        <v>90.147665637245993</v>
      </c>
      <c r="G22">
        <v>84.339224387754214</v>
      </c>
      <c r="H22">
        <v>62.492149586069083</v>
      </c>
      <c r="I22">
        <v>53.470099222311617</v>
      </c>
      <c r="L22" t="str">
        <f t="shared" si="0"/>
        <v xml:space="preserve">    95.0737463126844, 93.5398230088496, 92.8908554572271, 90.147665637246, 84.3392243877542, 62.4921495860691, 53.4700992223116,</v>
      </c>
    </row>
    <row r="23" spans="2:12">
      <c r="B23" t="s">
        <v>21</v>
      </c>
      <c r="C23">
        <v>91.238938053097343</v>
      </c>
      <c r="D23">
        <v>87.758112094395273</v>
      </c>
      <c r="E23">
        <v>89.911504424778769</v>
      </c>
      <c r="F23">
        <v>84.86725663716814</v>
      </c>
      <c r="G23">
        <v>82.862221991539712</v>
      </c>
      <c r="H23">
        <v>46.690974835422452</v>
      </c>
      <c r="I23">
        <v>38.850076557755678</v>
      </c>
      <c r="L23" t="str">
        <f t="shared" si="0"/>
        <v xml:space="preserve">    91.2389380530973, 87.7581120943953, 89.9115044247788, 84.8672566371681, 82.8622219915397, 46.6909748354225, 38.8500765577557,</v>
      </c>
    </row>
    <row r="24" spans="2:12">
      <c r="B24" t="s">
        <v>22</v>
      </c>
      <c r="C24">
        <v>92.389380530973455</v>
      </c>
      <c r="D24">
        <v>94.660766961651916</v>
      </c>
      <c r="E24">
        <v>92.005899705014741</v>
      </c>
      <c r="F24">
        <v>90.088495575221231</v>
      </c>
      <c r="G24">
        <v>77.700672151143181</v>
      </c>
      <c r="H24">
        <v>46.780508481907283</v>
      </c>
      <c r="I24">
        <v>43.29968252320522</v>
      </c>
      <c r="L24" t="str">
        <f t="shared" si="0"/>
        <v xml:space="preserve">    92.3893805309735, 94.6607669616519, 92.0058997050147, 90.0884955752212, 77.7006721511432, 46.7805084819073, 43.2996825232052,</v>
      </c>
    </row>
    <row r="25" spans="2:12">
      <c r="B25" t="s">
        <v>23</v>
      </c>
      <c r="C25">
        <v>94.070796460176993</v>
      </c>
      <c r="D25">
        <v>91.062119914532133</v>
      </c>
      <c r="E25">
        <v>91.268436578171091</v>
      </c>
      <c r="F25">
        <v>90.088495575221231</v>
      </c>
      <c r="G25">
        <v>79.765222882550887</v>
      </c>
      <c r="H25">
        <v>46.166229811676573</v>
      </c>
      <c r="I25">
        <v>38.806996600316623</v>
      </c>
      <c r="L25" t="str">
        <f t="shared" si="0"/>
        <v xml:space="preserve">    94.070796460177, 91.0621199145321, 91.2684365781711, 90.0884955752212, 79.7652228825509, 46.1662298116766, 38.8069966003166,</v>
      </c>
    </row>
    <row r="26" spans="2:12">
      <c r="B26" t="s">
        <v>24</v>
      </c>
      <c r="C26">
        <v>92.271386430678461</v>
      </c>
      <c r="D26">
        <v>89.941002949852503</v>
      </c>
      <c r="E26">
        <v>88.761407970657189</v>
      </c>
      <c r="F26">
        <v>87.728613569321539</v>
      </c>
      <c r="G26">
        <v>81.595342520264012</v>
      </c>
      <c r="H26">
        <v>68.388048339518519</v>
      </c>
      <c r="I26">
        <v>56.135001167830168</v>
      </c>
      <c r="L26" t="str">
        <f t="shared" si="0"/>
        <v xml:space="preserve">    92.2713864306785, 89.9410029498525, 88.7614079706572, 87.7286135693215, 81.595342520264, 68.3880483395185, 56.1350011678302,</v>
      </c>
    </row>
    <row r="27" spans="2:12">
      <c r="B27" t="s">
        <v>25</v>
      </c>
      <c r="C27">
        <v>83.539823008849552</v>
      </c>
      <c r="D27">
        <v>83.834808259587021</v>
      </c>
      <c r="E27">
        <v>82.684538793588189</v>
      </c>
      <c r="F27">
        <v>79.970501474926252</v>
      </c>
      <c r="G27">
        <v>71.561259180442732</v>
      </c>
      <c r="H27">
        <v>60.079844981357972</v>
      </c>
      <c r="I27">
        <v>53.115770897672121</v>
      </c>
      <c r="L27" t="str">
        <f t="shared" si="0"/>
        <v xml:space="preserve">    83.5398230088496, 83.834808259587, 82.6845387935882, 79.9705014749263, 71.5612591804427, 60.079844981358, 53.1157708976721,</v>
      </c>
    </row>
    <row r="28" spans="2:12">
      <c r="B28" t="s">
        <v>26</v>
      </c>
      <c r="C28">
        <v>86.342182890855455</v>
      </c>
      <c r="D28">
        <v>84.336283185840699</v>
      </c>
      <c r="E28">
        <v>83.333333333333343</v>
      </c>
      <c r="F28">
        <v>80.707964601769916</v>
      </c>
      <c r="G28">
        <v>75.841573023988104</v>
      </c>
      <c r="H28">
        <v>56.709400600351223</v>
      </c>
      <c r="I28">
        <v>51.621034784037917</v>
      </c>
      <c r="L28" t="str">
        <f t="shared" si="0"/>
        <v xml:space="preserve">    86.3421828908555, 84.3362831858407, 83.3333333333333, 80.7079646017699, 75.8415730239881, 56.7094006003512, 51.6210347840379,</v>
      </c>
    </row>
    <row r="29" spans="2:12">
      <c r="B29" t="s">
        <v>27</v>
      </c>
      <c r="C29">
        <v>98.879056047197636</v>
      </c>
      <c r="D29">
        <v>98.761061946902657</v>
      </c>
      <c r="E29">
        <v>98.112094395280238</v>
      </c>
      <c r="F29">
        <v>95.87020648967551</v>
      </c>
      <c r="G29">
        <v>93.216204292424678</v>
      </c>
      <c r="H29">
        <v>69.627332416370379</v>
      </c>
      <c r="I29">
        <v>52.850976219517477</v>
      </c>
      <c r="L29" t="str">
        <f t="shared" si="0"/>
        <v xml:space="preserve">    98.8790560471976, 98.7610619469027, 98.1120943952802, 95.8702064896755, 93.2162042924247, 69.6273324163704, 52.8509762195175,</v>
      </c>
    </row>
    <row r="30" spans="2:12">
      <c r="B30" t="s">
        <v>28</v>
      </c>
      <c r="C30">
        <v>99.085545722713874</v>
      </c>
      <c r="D30">
        <v>97.787610619469021</v>
      </c>
      <c r="E30">
        <v>97.256637168141594</v>
      </c>
      <c r="F30">
        <v>95.457227138643063</v>
      </c>
      <c r="G30">
        <v>90</v>
      </c>
      <c r="H30">
        <v>72.594226593655648</v>
      </c>
      <c r="I30">
        <v>54.033512400626307</v>
      </c>
      <c r="L30" t="str">
        <f t="shared" si="0"/>
        <v xml:space="preserve">    99.0855457227139, 97.787610619469, 97.2566371681416, 95.4572271386431, 90, 72.5942265936556, 54.0335124006263,</v>
      </c>
    </row>
    <row r="31" spans="2:12">
      <c r="B31" t="s">
        <v>29</v>
      </c>
      <c r="C31">
        <v>98.525073746312685</v>
      </c>
      <c r="D31">
        <v>97.69911504424779</v>
      </c>
      <c r="E31">
        <v>97.640117994100294</v>
      </c>
      <c r="F31">
        <v>97.345132743362825</v>
      </c>
      <c r="G31">
        <v>94.131523629097131</v>
      </c>
      <c r="H31">
        <v>76.145987422036526</v>
      </c>
      <c r="I31">
        <v>62.737134404276858</v>
      </c>
      <c r="L31" t="str">
        <f t="shared" si="0"/>
        <v xml:space="preserve">    98.5250737463127, 97.6991150442478, 97.6401179941003, 97.3451327433628, 94.1315236290971, 76.1459874220365, 62.7371344042769,</v>
      </c>
    </row>
    <row r="32" spans="2:12">
      <c r="B32" t="s">
        <v>32</v>
      </c>
      <c r="C32">
        <f>AVERAGE(C2:C31)</f>
        <v>93.093423530191998</v>
      </c>
      <c r="D32">
        <f t="shared" ref="D32:I32" si="1">AVERAGE(D2:D31)</f>
        <v>92.032529116457184</v>
      </c>
      <c r="E32">
        <f t="shared" si="1"/>
        <v>91.460223127651048</v>
      </c>
      <c r="F32">
        <f t="shared" si="1"/>
        <v>89.435744830549297</v>
      </c>
      <c r="G32">
        <f t="shared" si="1"/>
        <v>82.989377070735898</v>
      </c>
      <c r="H32">
        <f t="shared" si="1"/>
        <v>58.198897337635557</v>
      </c>
      <c r="I32">
        <f t="shared" si="1"/>
        <v>50.000795854635413</v>
      </c>
    </row>
    <row r="33" spans="1:12" ht="15" thickBot="1"/>
    <row r="34" spans="1:12" ht="15" thickBot="1">
      <c r="A34" s="4" t="s">
        <v>47</v>
      </c>
      <c r="B34" s="3" t="s">
        <v>30</v>
      </c>
      <c r="C34" s="1">
        <v>1</v>
      </c>
      <c r="D34" s="1">
        <v>0.75</v>
      </c>
      <c r="E34" s="1">
        <v>0.5</v>
      </c>
      <c r="F34" s="1">
        <v>0.3</v>
      </c>
      <c r="G34" s="1">
        <v>0.2</v>
      </c>
      <c r="H34" s="1">
        <v>0.1</v>
      </c>
      <c r="I34" s="2">
        <v>0.05</v>
      </c>
    </row>
    <row r="35" spans="1:12">
      <c r="B35" t="s">
        <v>33</v>
      </c>
      <c r="C35">
        <f>AVERAGE(C2:C4)</f>
        <v>90.039331366764998</v>
      </c>
      <c r="D35">
        <f t="shared" ref="D35:I35" si="2">AVERAGE(D2:D4)</f>
        <v>90.54080629301869</v>
      </c>
      <c r="E35">
        <f t="shared" si="2"/>
        <v>89.596853490658802</v>
      </c>
      <c r="F35">
        <f t="shared" si="2"/>
        <v>88.338249754178946</v>
      </c>
      <c r="G35">
        <f t="shared" si="2"/>
        <v>84.770744844966941</v>
      </c>
      <c r="H35">
        <f t="shared" si="2"/>
        <v>56.780681493784549</v>
      </c>
      <c r="I35">
        <f t="shared" si="2"/>
        <v>49.747575671069818</v>
      </c>
      <c r="L35" t="str">
        <f t="shared" ref="L35:L45" si="3">"    "&amp;_xlfn.TEXTJOIN(", ",TRUE,C35:I35)&amp;","</f>
        <v xml:space="preserve">    90.039331366765, 90.5408062930187, 89.5968534906588, 88.3382497541789, 84.7707448449669, 56.7806814937845, 49.7475756710698,</v>
      </c>
    </row>
    <row r="36" spans="1:12">
      <c r="B36" t="s">
        <v>34</v>
      </c>
      <c r="C36">
        <f>AVERAGE(C5:C7)</f>
        <v>93.008849557522126</v>
      </c>
      <c r="D36">
        <f t="shared" ref="D36:I36" si="4">AVERAGE(D5:D7)</f>
        <v>92.045461754282769</v>
      </c>
      <c r="E36">
        <f t="shared" si="4"/>
        <v>91.622418879056056</v>
      </c>
      <c r="F36">
        <f t="shared" si="4"/>
        <v>89.124877089478858</v>
      </c>
      <c r="G36">
        <f t="shared" si="4"/>
        <v>80.960158248197061</v>
      </c>
      <c r="H36">
        <f t="shared" si="4"/>
        <v>48.312211466650517</v>
      </c>
      <c r="I36">
        <f t="shared" si="4"/>
        <v>43.112022306998036</v>
      </c>
      <c r="L36" t="str">
        <f t="shared" si="3"/>
        <v xml:space="preserve">    93.0088495575221, 92.0454617542828, 91.6224188790561, 89.1248770894789, 80.9601582481971, 48.3122114666505, 43.112022306998,</v>
      </c>
    </row>
    <row r="37" spans="1:12">
      <c r="B37" t="s">
        <v>35</v>
      </c>
      <c r="C37">
        <f>AVERAGE(C8:C10)</f>
        <v>95.732546705998018</v>
      </c>
      <c r="D37">
        <f t="shared" ref="D37:I37" si="5">AVERAGE(D8:D10)</f>
        <v>95.545722713864322</v>
      </c>
      <c r="E37">
        <f t="shared" si="5"/>
        <v>95.329400196656835</v>
      </c>
      <c r="F37">
        <f t="shared" si="5"/>
        <v>93.451327433628322</v>
      </c>
      <c r="G37">
        <f t="shared" si="5"/>
        <v>88.212671966597171</v>
      </c>
      <c r="H37">
        <f t="shared" si="5"/>
        <v>64.299748844424826</v>
      </c>
      <c r="I37">
        <f t="shared" si="5"/>
        <v>54.47426015795984</v>
      </c>
      <c r="L37" t="str">
        <f t="shared" si="3"/>
        <v xml:space="preserve">    95.732546705998, 95.5457227138643, 95.3294001966568, 93.4513274336283, 88.2126719665972, 64.2997488444248, 54.4742601579598,</v>
      </c>
    </row>
    <row r="38" spans="1:12">
      <c r="B38" t="s">
        <v>36</v>
      </c>
      <c r="C38">
        <f>AVERAGE(C11:C13)</f>
        <v>94.188848231097722</v>
      </c>
      <c r="D38">
        <f t="shared" ref="D38:I38" si="6">AVERAGE(D11:D13)</f>
        <v>93.726647000983277</v>
      </c>
      <c r="E38">
        <f t="shared" si="6"/>
        <v>93.244837758112112</v>
      </c>
      <c r="F38">
        <f t="shared" si="6"/>
        <v>90.82601637269066</v>
      </c>
      <c r="G38">
        <f t="shared" si="6"/>
        <v>82.980706292153613</v>
      </c>
      <c r="H38">
        <f t="shared" si="6"/>
        <v>58.044735104398249</v>
      </c>
      <c r="I38">
        <f t="shared" si="6"/>
        <v>48.628188825162852</v>
      </c>
      <c r="L38" t="str">
        <f t="shared" si="3"/>
        <v xml:space="preserve">    94.1888482310977, 93.7266470009833, 93.2448377581121, 90.8260163726907, 82.9807062921536, 58.0447351043982, 48.6281888251629,</v>
      </c>
    </row>
    <row r="39" spans="1:12">
      <c r="B39" t="s">
        <v>37</v>
      </c>
      <c r="C39">
        <f>AVERAGE(C14:C16)</f>
        <v>91.081612586037366</v>
      </c>
      <c r="D39">
        <f t="shared" ref="D39:I39" si="7">AVERAGE(D14:D16)</f>
        <v>89.203539823008853</v>
      </c>
      <c r="E39">
        <f t="shared" si="7"/>
        <v>88.171091445427734</v>
      </c>
      <c r="F39">
        <f t="shared" si="7"/>
        <v>87.355080926305604</v>
      </c>
      <c r="G39">
        <f t="shared" si="7"/>
        <v>78.831016415943623</v>
      </c>
      <c r="H39">
        <f t="shared" si="7"/>
        <v>53.026006568684274</v>
      </c>
      <c r="I39">
        <f t="shared" si="7"/>
        <v>48.231818614347873</v>
      </c>
      <c r="L39" t="str">
        <f t="shared" si="3"/>
        <v xml:space="preserve">    91.0816125860374, 89.2035398230089, 88.1710914454277, 87.3550809263056, 78.8310164159436, 53.0260065686843, 48.2318186143479,</v>
      </c>
    </row>
    <row r="40" spans="1:12">
      <c r="B40" t="s">
        <v>38</v>
      </c>
      <c r="C40">
        <f>AVERAGE(C17:C19)</f>
        <v>95.545722713864322</v>
      </c>
      <c r="D40">
        <f t="shared" ref="D40:I40" si="8">AVERAGE(D17:D19)</f>
        <v>93.314186685582627</v>
      </c>
      <c r="E40">
        <f t="shared" si="8"/>
        <v>92.645322768074706</v>
      </c>
      <c r="F40">
        <f t="shared" si="8"/>
        <v>90.650063293511764</v>
      </c>
      <c r="G40">
        <f t="shared" si="8"/>
        <v>82.018270054239238</v>
      </c>
      <c r="H40">
        <f t="shared" si="8"/>
        <v>61.710453089271255</v>
      </c>
      <c r="I40">
        <f t="shared" si="8"/>
        <v>56.148034729250831</v>
      </c>
      <c r="L40" t="str">
        <f t="shared" si="3"/>
        <v xml:space="preserve">    95.5457227138643, 93.3141866855826, 92.6453227680747, 90.6500632935118, 82.0182700542392, 61.7104530892713, 56.1480347292508,</v>
      </c>
    </row>
    <row r="41" spans="1:12">
      <c r="B41" t="s">
        <v>39</v>
      </c>
      <c r="C41">
        <f>AVERAGE(C20:C22)</f>
        <v>92.556596510350445</v>
      </c>
      <c r="D41">
        <f t="shared" ref="D41:I41" si="9">AVERAGE(D20:D22)</f>
        <v>90.668633235004918</v>
      </c>
      <c r="E41">
        <f t="shared" si="9"/>
        <v>90.334316617502452</v>
      </c>
      <c r="F41">
        <f t="shared" si="9"/>
        <v>87.237202167262126</v>
      </c>
      <c r="G41">
        <f t="shared" si="9"/>
        <v>83.228862994777913</v>
      </c>
      <c r="H41">
        <f t="shared" si="9"/>
        <v>58.754285648376424</v>
      </c>
      <c r="I41">
        <f t="shared" si="9"/>
        <v>49.182663056485495</v>
      </c>
      <c r="L41" t="str">
        <f t="shared" si="3"/>
        <v xml:space="preserve">    92.5565965103504, 90.6686332350049, 90.3343166175025, 87.2372021672621, 83.2288629947779, 58.7542856483764, 49.1826630564855,</v>
      </c>
    </row>
    <row r="42" spans="1:12">
      <c r="B42" t="s">
        <v>40</v>
      </c>
      <c r="C42">
        <f>AVERAGE(C23:C25)</f>
        <v>92.56637168141593</v>
      </c>
      <c r="D42">
        <f t="shared" ref="D42:I42" si="10">AVERAGE(D23:D25)</f>
        <v>91.160332990193112</v>
      </c>
      <c r="E42">
        <f t="shared" si="10"/>
        <v>91.061946902654867</v>
      </c>
      <c r="F42">
        <f t="shared" si="10"/>
        <v>88.34808259587021</v>
      </c>
      <c r="G42">
        <f t="shared" si="10"/>
        <v>80.109372341744589</v>
      </c>
      <c r="H42">
        <f t="shared" si="10"/>
        <v>46.545904376335436</v>
      </c>
      <c r="I42">
        <f t="shared" si="10"/>
        <v>40.318918560425843</v>
      </c>
      <c r="L42" t="str">
        <f t="shared" si="3"/>
        <v xml:space="preserve">    92.5663716814159, 91.1603329901931, 91.0619469026549, 88.3480825958702, 80.1093723417446, 46.5459043763354, 40.3189185604258,</v>
      </c>
    </row>
    <row r="43" spans="1:12">
      <c r="B43" t="s">
        <v>41</v>
      </c>
      <c r="C43">
        <f>AVERAGE(C26:C28)</f>
        <v>87.384464110127809</v>
      </c>
      <c r="D43">
        <f t="shared" ref="D43:I43" si="11">AVERAGE(D26:D28)</f>
        <v>86.037364798426736</v>
      </c>
      <c r="E43">
        <f t="shared" si="11"/>
        <v>84.926426699192902</v>
      </c>
      <c r="F43">
        <f t="shared" si="11"/>
        <v>82.802359882005888</v>
      </c>
      <c r="G43">
        <f t="shared" si="11"/>
        <v>76.332724908231611</v>
      </c>
      <c r="H43">
        <f t="shared" si="11"/>
        <v>61.725764640409238</v>
      </c>
      <c r="I43">
        <f t="shared" si="11"/>
        <v>53.6239356165134</v>
      </c>
      <c r="L43" t="str">
        <f t="shared" si="3"/>
        <v xml:space="preserve">    87.3844641101278, 86.0373647984267, 84.9264266991929, 82.8023598820059, 76.3327249082316, 61.7257646404092, 53.6239356165134,</v>
      </c>
    </row>
    <row r="44" spans="1:12">
      <c r="B44" t="s">
        <v>42</v>
      </c>
      <c r="C44">
        <f>AVERAGE(C29:C31)</f>
        <v>98.829891838741389</v>
      </c>
      <c r="D44">
        <f t="shared" ref="D44:I44" si="12">AVERAGE(D29:D31)</f>
        <v>98.08259587020649</v>
      </c>
      <c r="E44">
        <f t="shared" si="12"/>
        <v>97.669616519174042</v>
      </c>
      <c r="F44">
        <f t="shared" si="12"/>
        <v>96.224188790560461</v>
      </c>
      <c r="G44">
        <f t="shared" si="12"/>
        <v>92.449242640507279</v>
      </c>
      <c r="H44">
        <f t="shared" si="12"/>
        <v>72.789182144020856</v>
      </c>
      <c r="I44">
        <f t="shared" si="12"/>
        <v>56.540541008140217</v>
      </c>
      <c r="L44" t="str">
        <f t="shared" si="3"/>
        <v xml:space="preserve">    98.8298918387414, 98.0825958702065, 97.669616519174, 96.2241887905605, 92.4492426405073, 72.7891821440209, 56.5405410081402,</v>
      </c>
    </row>
    <row r="45" spans="1:12">
      <c r="B45" t="s">
        <v>32</v>
      </c>
      <c r="C45">
        <f>AVERAGE(C35:C44)</f>
        <v>93.093423530192013</v>
      </c>
      <c r="D45">
        <f t="shared" ref="D45:I45" si="13">AVERAGE(D35:D44)</f>
        <v>92.032529116457184</v>
      </c>
      <c r="E45">
        <f t="shared" si="13"/>
        <v>91.460223127651062</v>
      </c>
      <c r="F45">
        <f t="shared" si="13"/>
        <v>89.435744830549282</v>
      </c>
      <c r="G45">
        <f t="shared" si="13"/>
        <v>82.989377070735898</v>
      </c>
      <c r="H45">
        <f t="shared" si="13"/>
        <v>58.198897337635572</v>
      </c>
      <c r="I45">
        <f t="shared" si="13"/>
        <v>50.000795854635427</v>
      </c>
      <c r="L45" t="str">
        <f t="shared" si="3"/>
        <v xml:space="preserve">    93.093423530192, 92.0325291164572, 91.4602231276511, 89.4357448305493, 82.9893770707359, 58.1988973376356, 50.0007958546354,</v>
      </c>
    </row>
    <row r="47" spans="1:12">
      <c r="C47">
        <f>_xlfn.STDEV.P(C35:C44)</f>
        <v>3.0598360395405493</v>
      </c>
      <c r="D47">
        <f t="shared" ref="D47:I47" si="14">_xlfn.STDEV.P(D35:D44)</f>
        <v>3.1976559606168484</v>
      </c>
      <c r="E47">
        <f t="shared" si="14"/>
        <v>3.4139425053355228</v>
      </c>
      <c r="F47">
        <f t="shared" si="14"/>
        <v>3.4822979577121749</v>
      </c>
      <c r="G47">
        <f t="shared" si="14"/>
        <v>4.4154360199045515</v>
      </c>
      <c r="H47">
        <f t="shared" si="14"/>
        <v>7.3314921832618989</v>
      </c>
      <c r="I47">
        <f t="shared" si="14"/>
        <v>5.105257860903138</v>
      </c>
    </row>
  </sheetData>
  <phoneticPr fontId="1" type="noConversion"/>
  <conditionalFormatting sqref="C35:I4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9799-93AF-4DE1-88F6-5FBA055867B2}">
  <dimension ref="A1:L49"/>
  <sheetViews>
    <sheetView workbookViewId="0"/>
  </sheetViews>
  <sheetFormatPr defaultRowHeight="14.25"/>
  <sheetData>
    <row r="1" spans="1:12" ht="15" thickBot="1">
      <c r="A1" s="4" t="s">
        <v>46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89.115044247787608</v>
      </c>
      <c r="D2">
        <v>87.610619469026545</v>
      </c>
      <c r="E2">
        <v>89.410029498525063</v>
      </c>
      <c r="F2">
        <v>88.643067846607664</v>
      </c>
      <c r="G2">
        <v>86.69616519174042</v>
      </c>
      <c r="H2">
        <v>65.337243401759537</v>
      </c>
      <c r="I2">
        <v>46.555420029585029</v>
      </c>
      <c r="L2" t="str">
        <f t="shared" ref="L2:L31" si="0">"    "&amp;_xlfn.TEXTJOIN(", ",TRUE,C2:I2)&amp;","</f>
        <v xml:space="preserve">    89.1150442477876, 87.6106194690265, 89.4100294985251, 88.6430678466077, 86.6961651917404, 65.3372434017595, 46.555420029585,</v>
      </c>
    </row>
    <row r="3" spans="1:12">
      <c r="B3" t="s">
        <v>1</v>
      </c>
      <c r="C3">
        <v>93.510324483775804</v>
      </c>
      <c r="D3">
        <v>93.716814159292042</v>
      </c>
      <c r="E3">
        <v>94.070796460176993</v>
      </c>
      <c r="F3">
        <v>91.859445150909607</v>
      </c>
      <c r="G3">
        <v>88.156125918044282</v>
      </c>
      <c r="H3">
        <v>64.004013875552545</v>
      </c>
      <c r="I3">
        <v>51.659529926729462</v>
      </c>
      <c r="L3" t="str">
        <f t="shared" si="0"/>
        <v xml:space="preserve">    93.5103244837758, 93.716814159292, 94.070796460177, 91.8594451509096, 88.1561259180443, 64.0040138755525, 51.6595299267295,</v>
      </c>
    </row>
    <row r="4" spans="1:12">
      <c r="B4" t="s">
        <v>2</v>
      </c>
      <c r="C4">
        <v>88.023598820058993</v>
      </c>
      <c r="D4">
        <v>88.997050147492615</v>
      </c>
      <c r="E4">
        <v>88.820058997050154</v>
      </c>
      <c r="F4">
        <v>88.377581120943958</v>
      </c>
      <c r="G4">
        <v>85.486725663716811</v>
      </c>
      <c r="H4">
        <v>58.352494398740482</v>
      </c>
      <c r="I4">
        <v>49.849220148963227</v>
      </c>
      <c r="L4" t="str">
        <f t="shared" si="0"/>
        <v xml:space="preserve">    88.023598820059, 88.9970501474926, 88.8200589970502, 88.377581120944, 85.4867256637168, 58.3524943987405, 49.8492201489632,</v>
      </c>
    </row>
    <row r="5" spans="1:12">
      <c r="B5" t="s">
        <v>3</v>
      </c>
      <c r="C5">
        <v>90.678466076696168</v>
      </c>
      <c r="D5">
        <v>92.005899705014741</v>
      </c>
      <c r="E5">
        <v>91.061946902654853</v>
      </c>
      <c r="F5">
        <v>89.528023598820056</v>
      </c>
      <c r="G5">
        <v>86.637341153470189</v>
      </c>
      <c r="H5">
        <v>56.19313315859133</v>
      </c>
      <c r="I5">
        <v>41.919999307952487</v>
      </c>
      <c r="L5" t="str">
        <f t="shared" si="0"/>
        <v xml:space="preserve">    90.6784660766962, 92.0058997050147, 91.0619469026549, 89.5280235988201, 86.6373411534702, 56.1931331585913, 41.9199993079525,</v>
      </c>
    </row>
    <row r="6" spans="1:12">
      <c r="B6" t="s">
        <v>4</v>
      </c>
      <c r="C6">
        <v>95.752212389380531</v>
      </c>
      <c r="D6">
        <v>94.719764011799413</v>
      </c>
      <c r="E6">
        <v>94.837758112094392</v>
      </c>
      <c r="F6">
        <v>93.775811209439524</v>
      </c>
      <c r="G6">
        <v>90.471976401179944</v>
      </c>
      <c r="H6">
        <v>65.408178271438331</v>
      </c>
      <c r="I6">
        <v>48.76175399441172</v>
      </c>
      <c r="L6" t="str">
        <f t="shared" si="0"/>
        <v xml:space="preserve">    95.7522123893805, 94.7197640117994, 94.8377581120944, 93.7758112094395, 90.4719764011799, 65.4081782714383, 48.7617539944117,</v>
      </c>
    </row>
    <row r="7" spans="1:12">
      <c r="B7" t="s">
        <v>5</v>
      </c>
      <c r="C7">
        <v>93.687315634218294</v>
      </c>
      <c r="D7">
        <v>94.041297935103245</v>
      </c>
      <c r="E7">
        <v>93.598820058997049</v>
      </c>
      <c r="F7">
        <v>92.271386430678461</v>
      </c>
      <c r="G7">
        <v>90.479934947534147</v>
      </c>
      <c r="H7">
        <v>51.908580524052979</v>
      </c>
      <c r="I7">
        <v>36.717618664521318</v>
      </c>
      <c r="L7" t="str">
        <f t="shared" si="0"/>
        <v xml:space="preserve">    93.6873156342183, 94.0412979351032, 93.598820058997, 92.2713864306785, 90.4799349475341, 51.908580524053, 36.7176186645213,</v>
      </c>
    </row>
    <row r="8" spans="1:12">
      <c r="B8" t="s">
        <v>6</v>
      </c>
      <c r="C8">
        <v>92.625368731563427</v>
      </c>
      <c r="D8">
        <v>94.070796460176979</v>
      </c>
      <c r="E8">
        <v>92.890855457227133</v>
      </c>
      <c r="F8">
        <v>90.678466076696168</v>
      </c>
      <c r="G8">
        <v>90.943952802359874</v>
      </c>
      <c r="H8">
        <v>66.603949861157972</v>
      </c>
      <c r="I8">
        <v>65.371586259396707</v>
      </c>
      <c r="L8" t="str">
        <f t="shared" si="0"/>
        <v xml:space="preserve">    92.6253687315634, 94.070796460177, 92.8908554572271, 90.6784660766962, 90.9439528023599, 66.603949861158, 65.3715862593967,</v>
      </c>
    </row>
    <row r="9" spans="1:12">
      <c r="B9" t="s">
        <v>7</v>
      </c>
      <c r="C9">
        <v>97.227138643067846</v>
      </c>
      <c r="D9">
        <v>97.905604719764</v>
      </c>
      <c r="E9">
        <v>97.876106194690266</v>
      </c>
      <c r="F9">
        <v>96.578171091445427</v>
      </c>
      <c r="G9">
        <v>94.395280235988196</v>
      </c>
      <c r="H9">
        <v>62.633932819488052</v>
      </c>
      <c r="I9">
        <v>52.258237528006291</v>
      </c>
      <c r="L9" t="str">
        <f t="shared" si="0"/>
        <v xml:space="preserve">    97.2271386430678, 97.905604719764, 97.8761061946903, 96.5781710914454, 94.3952802359882, 62.6339328194881, 52.2582375280063,</v>
      </c>
    </row>
    <row r="10" spans="1:12">
      <c r="B10" t="s">
        <v>8</v>
      </c>
      <c r="C10">
        <v>97.256637168141594</v>
      </c>
      <c r="D10">
        <v>97.787610619469021</v>
      </c>
      <c r="E10">
        <v>97.640117994100294</v>
      </c>
      <c r="F10">
        <v>95.516224188790559</v>
      </c>
      <c r="G10">
        <v>92.654867256637175</v>
      </c>
      <c r="H10">
        <v>74.146056626787427</v>
      </c>
      <c r="I10">
        <v>60.24749349042812</v>
      </c>
      <c r="L10" t="str">
        <f t="shared" si="0"/>
        <v xml:space="preserve">    97.2566371681416, 97.787610619469, 97.6401179941003, 95.5162241887906, 92.6548672566372, 74.1460566267874, 60.2474934904281,</v>
      </c>
    </row>
    <row r="11" spans="1:12">
      <c r="B11" t="s">
        <v>9</v>
      </c>
      <c r="C11">
        <v>95.604719764011804</v>
      </c>
      <c r="D11">
        <v>96.489675516224196</v>
      </c>
      <c r="E11">
        <v>95.663716814159287</v>
      </c>
      <c r="F11">
        <v>93.48082595870207</v>
      </c>
      <c r="G11">
        <v>92.890855457227147</v>
      </c>
      <c r="H11">
        <v>67.200321802091722</v>
      </c>
      <c r="I11">
        <v>40.367477227311653</v>
      </c>
      <c r="L11" t="str">
        <f t="shared" si="0"/>
        <v xml:space="preserve">    95.6047197640118, 96.4896755162242, 95.6637168141593, 93.4808259587021, 92.8908554572271, 67.2003218020917, 40.3674772273117,</v>
      </c>
    </row>
    <row r="12" spans="1:12">
      <c r="B12" t="s">
        <v>10</v>
      </c>
      <c r="C12">
        <v>90.353982300884951</v>
      </c>
      <c r="D12">
        <v>90.943952802359874</v>
      </c>
      <c r="E12">
        <v>89.321533923303832</v>
      </c>
      <c r="F12">
        <v>89.292035398230084</v>
      </c>
      <c r="G12">
        <v>87.823856607756127</v>
      </c>
      <c r="H12">
        <v>65.490445419078014</v>
      </c>
      <c r="I12">
        <v>43.838614520886857</v>
      </c>
      <c r="L12" t="str">
        <f t="shared" si="0"/>
        <v xml:space="preserve">    90.353982300885, 90.9439528023599, 89.3215339233038, 89.2920353982301, 87.8238566077561, 65.490445419078, 43.8386145208869,</v>
      </c>
    </row>
    <row r="13" spans="1:12">
      <c r="B13" t="s">
        <v>11</v>
      </c>
      <c r="C13">
        <v>95.663716814159301</v>
      </c>
      <c r="D13">
        <v>94.896755162241874</v>
      </c>
      <c r="E13">
        <v>94.247787610619469</v>
      </c>
      <c r="F13">
        <v>92.330383480825958</v>
      </c>
      <c r="G13">
        <v>91.445427728613566</v>
      </c>
      <c r="H13">
        <v>61.899756918312427</v>
      </c>
      <c r="I13">
        <v>54.654884557824893</v>
      </c>
      <c r="L13" t="str">
        <f t="shared" si="0"/>
        <v xml:space="preserve">    95.6637168141593, 94.8967551622419, 94.2477876106195, 92.330383480826, 91.4454277286136, 61.8997569183124, 54.6548845578249,</v>
      </c>
    </row>
    <row r="14" spans="1:12">
      <c r="B14" t="s">
        <v>12</v>
      </c>
      <c r="C14">
        <v>89.705014749262531</v>
      </c>
      <c r="D14">
        <v>88.437097206723237</v>
      </c>
      <c r="E14">
        <v>88.259587020648979</v>
      </c>
      <c r="F14">
        <v>86.224188790560476</v>
      </c>
      <c r="G14">
        <v>85.663716814159301</v>
      </c>
      <c r="H14">
        <v>71.55053244405228</v>
      </c>
      <c r="I14">
        <v>48.619624737238212</v>
      </c>
      <c r="L14" t="str">
        <f t="shared" si="0"/>
        <v xml:space="preserve">    89.7050147492625, 88.4370972067232, 88.259587020649, 86.2241887905605, 85.6637168141593, 71.5505324440523, 48.6196247372382,</v>
      </c>
    </row>
    <row r="15" spans="1:12">
      <c r="B15" t="s">
        <v>13</v>
      </c>
      <c r="C15">
        <v>93.834808259587021</v>
      </c>
      <c r="D15">
        <v>91.356932153392336</v>
      </c>
      <c r="E15">
        <v>92.477876106194685</v>
      </c>
      <c r="F15">
        <v>92.654867256637175</v>
      </c>
      <c r="G15">
        <v>88.593240425955244</v>
      </c>
      <c r="H15">
        <v>61.488161662298111</v>
      </c>
      <c r="I15">
        <v>46.781719565048142</v>
      </c>
      <c r="L15" t="str">
        <f t="shared" si="0"/>
        <v xml:space="preserve">    93.834808259587, 91.3569321533923, 92.4778761061947, 92.6548672566372, 88.5932404259552, 61.4881616622981, 46.7817195650481,</v>
      </c>
    </row>
    <row r="16" spans="1:12">
      <c r="B16" t="s">
        <v>14</v>
      </c>
      <c r="C16">
        <v>92.949852507374629</v>
      </c>
      <c r="D16">
        <v>87.640117994100294</v>
      </c>
      <c r="E16">
        <v>87.669616519174042</v>
      </c>
      <c r="F16">
        <v>85.132916374709126</v>
      </c>
      <c r="G16">
        <v>83.067846607669622</v>
      </c>
      <c r="H16">
        <v>59.417728527063367</v>
      </c>
      <c r="I16">
        <v>41.958840474398571</v>
      </c>
      <c r="L16" t="str">
        <f t="shared" si="0"/>
        <v xml:space="preserve">    92.9498525073746, 87.6401179941003, 87.669616519174, 85.1329163747091, 83.0678466076696, 59.4177285270634, 41.9588404743986,</v>
      </c>
    </row>
    <row r="17" spans="2:12">
      <c r="B17" t="s">
        <v>15</v>
      </c>
      <c r="C17">
        <v>95.87020648967551</v>
      </c>
      <c r="D17">
        <v>94.660766961651916</v>
      </c>
      <c r="E17">
        <v>92.920353982300895</v>
      </c>
      <c r="F17">
        <v>91.887905604719762</v>
      </c>
      <c r="G17">
        <v>86.434138703621997</v>
      </c>
      <c r="H17">
        <v>71.850708051107716</v>
      </c>
      <c r="I17">
        <v>46.86588984333774</v>
      </c>
      <c r="L17" t="str">
        <f t="shared" si="0"/>
        <v xml:space="preserve">    95.8702064896755, 94.6607669616519, 92.9203539823009, 91.8879056047198, 86.434138703622, 71.8507080511077, 46.8658898433377,</v>
      </c>
    </row>
    <row r="18" spans="2:12">
      <c r="B18" t="s">
        <v>16</v>
      </c>
      <c r="C18">
        <v>94.159292035398238</v>
      </c>
      <c r="D18">
        <v>93.864479796538035</v>
      </c>
      <c r="E18">
        <v>93.598993070874315</v>
      </c>
      <c r="F18">
        <v>89.734859298090811</v>
      </c>
      <c r="G18">
        <v>80.783051756503085</v>
      </c>
      <c r="H18">
        <v>67.17826278774038</v>
      </c>
      <c r="I18">
        <v>54.426854903589131</v>
      </c>
      <c r="L18" t="str">
        <f t="shared" si="0"/>
        <v xml:space="preserve">    94.1592920353982, 93.864479796538, 93.5989930708743, 89.7348592980908, 80.7830517565031, 67.1782627877404, 54.4268549035891,</v>
      </c>
    </row>
    <row r="19" spans="2:12">
      <c r="B19" t="s">
        <v>17</v>
      </c>
      <c r="C19">
        <v>96.961651917404126</v>
      </c>
      <c r="D19">
        <v>96.076696165191748</v>
      </c>
      <c r="E19">
        <v>94.749262536873147</v>
      </c>
      <c r="F19">
        <v>94.070796460176979</v>
      </c>
      <c r="G19">
        <v>89.646017699115049</v>
      </c>
      <c r="H19">
        <v>74.565956452910498</v>
      </c>
      <c r="I19">
        <v>60.305798493066547</v>
      </c>
      <c r="L19" t="str">
        <f t="shared" si="0"/>
        <v xml:space="preserve">    96.9616519174041, 96.0766961651917, 94.7492625368731, 94.070796460177, 89.646017699115, 74.5659564529105, 60.3057984930665,</v>
      </c>
    </row>
    <row r="20" spans="2:12">
      <c r="B20" t="s">
        <v>18</v>
      </c>
      <c r="C20">
        <v>93.451327433628322</v>
      </c>
      <c r="D20">
        <v>93.687315634218294</v>
      </c>
      <c r="E20">
        <v>93.74631268436579</v>
      </c>
      <c r="F20">
        <v>92.507374631268434</v>
      </c>
      <c r="G20">
        <v>89.675516224188783</v>
      </c>
      <c r="H20">
        <v>62.033927629131753</v>
      </c>
      <c r="I20">
        <v>50.164534295279367</v>
      </c>
      <c r="L20" t="str">
        <f t="shared" si="0"/>
        <v xml:space="preserve">    93.4513274336283, 93.6873156342183, 93.7463126843658, 92.5073746312684, 89.6755162241888, 62.0339276291318, 50.1645342952794,</v>
      </c>
    </row>
    <row r="21" spans="2:12">
      <c r="B21" t="s">
        <v>19</v>
      </c>
      <c r="C21">
        <v>88.377581120943958</v>
      </c>
      <c r="D21">
        <v>84.277286135693217</v>
      </c>
      <c r="E21">
        <v>86.78466076696165</v>
      </c>
      <c r="F21">
        <v>83.775811209439524</v>
      </c>
      <c r="G21">
        <v>79.482694486976527</v>
      </c>
      <c r="H21">
        <v>62.424155918303789</v>
      </c>
      <c r="I21">
        <v>41.631934532305642</v>
      </c>
      <c r="L21" t="str">
        <f t="shared" si="0"/>
        <v xml:space="preserve">    88.377581120944, 84.2772861356932, 86.7846607669617, 83.7758112094395, 79.4826944869765, 62.4241559183038, 41.6319345323056,</v>
      </c>
    </row>
    <row r="22" spans="2:12">
      <c r="B22" t="s">
        <v>20</v>
      </c>
      <c r="C22">
        <v>95.958702064896755</v>
      </c>
      <c r="D22">
        <v>94.660766961651916</v>
      </c>
      <c r="E22">
        <v>92.891028469104398</v>
      </c>
      <c r="F22">
        <v>92.831858407079636</v>
      </c>
      <c r="G22">
        <v>90.298099464528235</v>
      </c>
      <c r="H22">
        <v>70.832619659339613</v>
      </c>
      <c r="I22">
        <v>53.857559321447411</v>
      </c>
      <c r="L22" t="str">
        <f t="shared" si="0"/>
        <v xml:space="preserve">    95.9587020648968, 94.6607669616519, 92.8910284691044, 92.8318584070796, 90.2980994645282, 70.8326196593396, 53.8575593214474,</v>
      </c>
    </row>
    <row r="23" spans="2:12">
      <c r="B23" t="s">
        <v>21</v>
      </c>
      <c r="C23">
        <v>90.825958702064895</v>
      </c>
      <c r="D23">
        <v>90.235988200589972</v>
      </c>
      <c r="E23">
        <v>90.206489675516224</v>
      </c>
      <c r="F23">
        <v>84.07131549580879</v>
      </c>
      <c r="G23">
        <v>84.015259647574808</v>
      </c>
      <c r="H23">
        <v>49.427244180312982</v>
      </c>
      <c r="I23">
        <v>39.978806045034993</v>
      </c>
      <c r="L23" t="str">
        <f t="shared" si="0"/>
        <v xml:space="preserve">    90.8259587020649, 90.23598820059, 90.2064896755162, 84.0713154958088, 84.0152596475748, 49.427244180313, 39.978806045035,</v>
      </c>
    </row>
    <row r="24" spans="2:12">
      <c r="B24" t="s">
        <v>22</v>
      </c>
      <c r="C24">
        <v>92.713864306784657</v>
      </c>
      <c r="D24">
        <v>94.896755162241888</v>
      </c>
      <c r="E24">
        <v>94.39528023598821</v>
      </c>
      <c r="F24">
        <v>91.415929203539832</v>
      </c>
      <c r="G24">
        <v>86.047197640118</v>
      </c>
      <c r="H24">
        <v>58.351975363108679</v>
      </c>
      <c r="I24">
        <v>44.275902040675092</v>
      </c>
      <c r="L24" t="str">
        <f t="shared" si="0"/>
        <v xml:space="preserve">    92.7138643067847, 94.8967551622419, 94.3952802359882, 91.4159292035398, 86.047197640118, 58.3519753631087, 44.2759020406751,</v>
      </c>
    </row>
    <row r="25" spans="2:12">
      <c r="B25" t="s">
        <v>23</v>
      </c>
      <c r="C25">
        <v>94.21828908554572</v>
      </c>
      <c r="D25">
        <v>92.949852507374629</v>
      </c>
      <c r="E25">
        <v>92.772861356932168</v>
      </c>
      <c r="F25">
        <v>90.766961651917399</v>
      </c>
      <c r="G25">
        <v>87.050147492625371</v>
      </c>
      <c r="H25">
        <v>64.917689599390997</v>
      </c>
      <c r="I25">
        <v>42.978658984939322</v>
      </c>
      <c r="L25" t="str">
        <f t="shared" si="0"/>
        <v xml:space="preserve">    94.2182890855457, 92.9498525073746, 92.7728613569322, 90.7669616519174, 87.0501474926254, 64.917689599391, 42.9786589849393,</v>
      </c>
    </row>
    <row r="26" spans="2:12">
      <c r="B26" t="s">
        <v>24</v>
      </c>
      <c r="C26">
        <v>94.277286135693217</v>
      </c>
      <c r="D26">
        <v>89.73451327433628</v>
      </c>
      <c r="E26">
        <v>86.666666666666657</v>
      </c>
      <c r="F26">
        <v>87.728613569321539</v>
      </c>
      <c r="G26">
        <v>83.12822775283523</v>
      </c>
      <c r="H26">
        <v>71.714461197761224</v>
      </c>
      <c r="I26">
        <v>61.437642194136629</v>
      </c>
      <c r="L26" t="str">
        <f t="shared" si="0"/>
        <v xml:space="preserve">    94.2772861356932, 89.7345132743363, 86.6666666666667, 87.7286135693215, 83.1282277528352, 71.7144611977612, 61.4376421941366,</v>
      </c>
    </row>
    <row r="27" spans="2:12">
      <c r="B27" t="s">
        <v>25</v>
      </c>
      <c r="C27">
        <v>84.572271386430685</v>
      </c>
      <c r="D27">
        <v>84.660766961651916</v>
      </c>
      <c r="E27">
        <v>83.539823008849552</v>
      </c>
      <c r="F27">
        <v>83.393022430989888</v>
      </c>
      <c r="G27">
        <v>80.176991150442475</v>
      </c>
      <c r="H27">
        <v>70.610212891114969</v>
      </c>
      <c r="I27">
        <v>56.072024844505577</v>
      </c>
      <c r="L27" t="str">
        <f t="shared" si="0"/>
        <v xml:space="preserve">    84.5722713864307, 84.6607669616519, 83.5398230088496, 83.3930224309899, 80.1769911504425, 70.610212891115, 56.0720248445056,</v>
      </c>
    </row>
    <row r="28" spans="2:12">
      <c r="B28" t="s">
        <v>26</v>
      </c>
      <c r="C28">
        <v>88.141592920353986</v>
      </c>
      <c r="D28">
        <v>86.047197640118</v>
      </c>
      <c r="E28">
        <v>83.598820058997049</v>
      </c>
      <c r="F28">
        <v>84.070796460176979</v>
      </c>
      <c r="G28">
        <v>81.270512720698278</v>
      </c>
      <c r="H28">
        <v>60.349743509891958</v>
      </c>
      <c r="I28">
        <v>47.679651208055432</v>
      </c>
      <c r="L28" t="str">
        <f t="shared" si="0"/>
        <v xml:space="preserve">    88.141592920354, 86.047197640118, 83.598820058997, 84.070796460177, 81.2705127206983, 60.349743509892, 47.6796512080554,</v>
      </c>
    </row>
    <row r="29" spans="2:12">
      <c r="B29" t="s">
        <v>27</v>
      </c>
      <c r="C29">
        <v>98.938053097345133</v>
      </c>
      <c r="D29">
        <v>98.525073746312685</v>
      </c>
      <c r="E29">
        <v>98.200589970501468</v>
      </c>
      <c r="F29">
        <v>96.076696165191748</v>
      </c>
      <c r="G29">
        <v>94.395280235988196</v>
      </c>
      <c r="H29">
        <v>76.397633197519013</v>
      </c>
      <c r="I29">
        <v>65.468559416603938</v>
      </c>
      <c r="L29" t="str">
        <f t="shared" si="0"/>
        <v xml:space="preserve">    98.9380530973451, 98.5250737463127, 98.2005899705015, 96.0766961651917, 94.3952802359882, 76.397633197519, 65.4685594166039,</v>
      </c>
    </row>
    <row r="30" spans="2:12">
      <c r="B30" t="s">
        <v>28</v>
      </c>
      <c r="C30">
        <v>99.616519174041301</v>
      </c>
      <c r="D30">
        <v>98.584070796460168</v>
      </c>
      <c r="E30">
        <v>97.846607669616517</v>
      </c>
      <c r="F30">
        <v>95.811209439528028</v>
      </c>
      <c r="G30">
        <v>95.457227138643063</v>
      </c>
      <c r="H30">
        <v>82.425972543015078</v>
      </c>
      <c r="I30">
        <v>64.17114334899091</v>
      </c>
      <c r="L30" t="str">
        <f t="shared" si="0"/>
        <v xml:space="preserve">    99.6165191740413, 98.5840707964602, 97.8466076696165, 95.811209439528, 95.4572271386431, 82.4259725430151, 64.1711433489909,</v>
      </c>
    </row>
    <row r="31" spans="2:12">
      <c r="B31" t="s">
        <v>29</v>
      </c>
      <c r="C31">
        <v>98.525073746312685</v>
      </c>
      <c r="D31">
        <v>98.554572271386434</v>
      </c>
      <c r="E31">
        <v>98.377581120943958</v>
      </c>
      <c r="F31">
        <v>96.961824929281391</v>
      </c>
      <c r="G31">
        <v>96.699452417408452</v>
      </c>
      <c r="H31">
        <v>91.190321715585782</v>
      </c>
      <c r="I31">
        <v>58.278185797454988</v>
      </c>
      <c r="L31" t="str">
        <f t="shared" si="0"/>
        <v xml:space="preserve">    98.5250737463127, 98.5545722713864, 98.377581120944, 96.9618249292814, 96.6994524174085, 91.1903217155858, 58.278185797455,</v>
      </c>
    </row>
    <row r="32" spans="2:12">
      <c r="B32" t="s">
        <v>32</v>
      </c>
      <c r="C32">
        <f>AVERAGE(C2:C31)</f>
        <v>93.419862340216326</v>
      </c>
      <c r="D32">
        <f t="shared" ref="D32:I32" si="1">AVERAGE(D2:D31)</f>
        <v>92.73453634258658</v>
      </c>
      <c r="E32">
        <f t="shared" si="1"/>
        <v>92.271397964803597</v>
      </c>
      <c r="F32">
        <f t="shared" si="1"/>
        <v>90.714945631017542</v>
      </c>
      <c r="G32">
        <f t="shared" si="1"/>
        <v>87.998904258110642</v>
      </c>
      <c r="H32">
        <f t="shared" si="1"/>
        <v>66.196847146889979</v>
      </c>
      <c r="I32">
        <f t="shared" si="1"/>
        <v>50.571838856737521</v>
      </c>
    </row>
    <row r="34" spans="1:12">
      <c r="C34" t="str">
        <f t="shared" ref="C34:D34" si="2">""&amp;_xlfn.TEXTJOIN(", ",TRUE,C2:C31)&amp;","</f>
        <v>89.1150442477876, 93.5103244837758, 88.023598820059, 90.6784660766962, 95.7522123893805, 93.6873156342183, 92.6253687315634, 97.2271386430678, 97.2566371681416, 95.6047197640118, 90.353982300885, 95.6637168141593, 89.7050147492625, 93.834808259587, 92.9498525073746, 95.8702064896755, 94.1592920353982, 96.9616519174041, 93.4513274336283, 88.377581120944, 95.9587020648968, 90.8259587020649, 92.7138643067847, 94.2182890855457, 94.2772861356932, 84.5722713864307, 88.141592920354, 98.9380530973451, 99.6165191740413, 98.5250737463127,</v>
      </c>
      <c r="D34" t="str">
        <f t="shared" si="2"/>
        <v>87.6106194690265, 93.716814159292, 88.9970501474926, 92.0058997050147, 94.7197640117994, 94.0412979351032, 94.070796460177, 97.905604719764, 97.787610619469, 96.4896755162242, 90.9439528023599, 94.8967551622419, 88.4370972067232, 91.3569321533923, 87.6401179941003, 94.6607669616519, 93.864479796538, 96.0766961651917, 93.6873156342183, 84.2772861356932, 94.6607669616519, 90.23598820059, 94.8967551622419, 92.9498525073746, 89.7345132743363, 84.6607669616519, 86.047197640118, 98.5250737463127, 98.5840707964602, 98.5545722713864,</v>
      </c>
      <c r="E34" t="str">
        <f>""&amp;_xlfn.TEXTJOIN(", ",TRUE,E2:E31)&amp;","</f>
        <v>89.4100294985251, 94.070796460177, 88.8200589970502, 91.0619469026549, 94.8377581120944, 93.598820058997, 92.8908554572271, 97.8761061946903, 97.6401179941003, 95.6637168141593, 89.3215339233038, 94.2477876106195, 88.259587020649, 92.4778761061947, 87.669616519174, 92.9203539823009, 93.5989930708743, 94.7492625368731, 93.7463126843658, 86.7846607669617, 92.8910284691044, 90.2064896755162, 94.3952802359882, 92.7728613569322, 86.6666666666667, 83.5398230088496, 83.598820058997, 98.2005899705015, 97.8466076696165, 98.377581120944,</v>
      </c>
      <c r="F34" t="str">
        <f t="shared" ref="F34:I34" si="3">""&amp;_xlfn.TEXTJOIN(", ",TRUE,F2:F31)&amp;","</f>
        <v>88.6430678466077, 91.8594451509096, 88.377581120944, 89.5280235988201, 93.7758112094395, 92.2713864306785, 90.6784660766962, 96.5781710914454, 95.5162241887906, 93.4808259587021, 89.2920353982301, 92.330383480826, 86.2241887905605, 92.6548672566372, 85.1329163747091, 91.8879056047198, 89.7348592980908, 94.070796460177, 92.5073746312684, 83.7758112094395, 92.8318584070796, 84.0713154958088, 91.4159292035398, 90.7669616519174, 87.7286135693215, 83.3930224309899, 84.070796460177, 96.0766961651917, 95.811209439528, 96.9618249292814,</v>
      </c>
      <c r="G34" t="str">
        <f t="shared" si="3"/>
        <v>86.6961651917404, 88.1561259180443, 85.4867256637168, 86.6373411534702, 90.4719764011799, 90.4799349475341, 90.9439528023599, 94.3952802359882, 92.6548672566372, 92.8908554572271, 87.8238566077561, 91.4454277286136, 85.6637168141593, 88.5932404259552, 83.0678466076696, 86.434138703622, 80.7830517565031, 89.646017699115, 89.6755162241888, 79.4826944869765, 90.2980994645282, 84.0152596475748, 86.047197640118, 87.0501474926254, 83.1282277528352, 80.1769911504425, 81.2705127206983, 94.3952802359882, 95.4572271386431, 96.6994524174085,</v>
      </c>
      <c r="H34" t="str">
        <f t="shared" si="3"/>
        <v>65.3372434017595, 64.0040138755525, 58.3524943987405, 56.1931331585913, 65.4081782714383, 51.908580524053, 66.603949861158, 62.6339328194881, 74.1460566267874, 67.2003218020917, 65.490445419078, 61.8997569183124, 71.5505324440523, 61.4881616622981, 59.4177285270634, 71.8507080511077, 67.1782627877404, 74.5659564529105, 62.0339276291318, 62.4241559183038, 70.8326196593396, 49.427244180313, 58.3519753631087, 64.917689599391, 71.7144611977612, 70.610212891115, 60.349743509892, 76.397633197519, 82.4259725430151, 91.1903217155858,</v>
      </c>
      <c r="I34" t="str">
        <f t="shared" si="3"/>
        <v>46.555420029585, 51.6595299267295, 49.8492201489632, 41.9199993079525, 48.7617539944117, 36.7176186645213, 65.3715862593967, 52.2582375280063, 60.2474934904281, 40.3674772273117, 43.8386145208869, 54.6548845578249, 48.6196247372382, 46.7817195650481, 41.9588404743986, 46.8658898433377, 54.4268549035891, 60.3057984930665, 50.1645342952794, 41.6319345323056, 53.8575593214474, 39.978806045035, 44.2759020406751, 42.9786589849393, 61.4376421941366, 56.0720248445056, 47.6796512080554, 65.4685594166039, 64.1711433489909, 58.278185797455,</v>
      </c>
    </row>
    <row r="35" spans="1:12" ht="15" thickBot="1"/>
    <row r="36" spans="1:12" ht="15" thickBot="1">
      <c r="A36" s="4" t="s">
        <v>46</v>
      </c>
      <c r="B36" s="3" t="s">
        <v>30</v>
      </c>
      <c r="C36" s="1">
        <v>1</v>
      </c>
      <c r="D36" s="1">
        <v>0.75</v>
      </c>
      <c r="E36" s="1">
        <v>0.5</v>
      </c>
      <c r="F36" s="1">
        <v>0.3</v>
      </c>
      <c r="G36" s="1">
        <v>0.2</v>
      </c>
      <c r="H36" s="1">
        <v>0.1</v>
      </c>
      <c r="I36" s="2">
        <v>0.05</v>
      </c>
    </row>
    <row r="37" spans="1:12">
      <c r="B37" t="s">
        <v>33</v>
      </c>
      <c r="C37">
        <f>AVERAGE(C2:C4)</f>
        <v>90.216322517207459</v>
      </c>
      <c r="D37">
        <f t="shared" ref="D37:I37" si="4">AVERAGE(D2:D4)</f>
        <v>90.108161258603744</v>
      </c>
      <c r="E37">
        <f t="shared" si="4"/>
        <v>90.766961651917384</v>
      </c>
      <c r="F37">
        <f t="shared" si="4"/>
        <v>89.626698039487067</v>
      </c>
      <c r="G37">
        <f t="shared" si="4"/>
        <v>86.779672257833838</v>
      </c>
      <c r="H37">
        <f t="shared" si="4"/>
        <v>62.564583892017517</v>
      </c>
      <c r="I37">
        <f t="shared" si="4"/>
        <v>49.354723368425901</v>
      </c>
      <c r="L37" t="str">
        <f t="shared" ref="L37:L47" si="5">"    "&amp;_xlfn.TEXTJOIN(", ",TRUE,C37:I37)&amp;","</f>
        <v xml:space="preserve">    90.2163225172075, 90.1081612586037, 90.7669616519174, 89.6266980394871, 86.7796722578338, 62.5645838920175, 49.3547233684259,</v>
      </c>
    </row>
    <row r="38" spans="1:12">
      <c r="B38" t="s">
        <v>34</v>
      </c>
      <c r="C38">
        <f>AVERAGE(C5:C7)</f>
        <v>93.372664700098326</v>
      </c>
      <c r="D38">
        <f t="shared" ref="D38:I38" si="6">AVERAGE(D5:D7)</f>
        <v>93.588987217305814</v>
      </c>
      <c r="E38">
        <f t="shared" si="6"/>
        <v>93.166175024582103</v>
      </c>
      <c r="F38">
        <f t="shared" si="6"/>
        <v>91.858407079646028</v>
      </c>
      <c r="G38">
        <f t="shared" si="6"/>
        <v>89.196417500728103</v>
      </c>
      <c r="H38">
        <f t="shared" si="6"/>
        <v>57.836630651360878</v>
      </c>
      <c r="I38">
        <f t="shared" si="6"/>
        <v>42.466457322295177</v>
      </c>
      <c r="L38" t="str">
        <f t="shared" si="5"/>
        <v xml:space="preserve">    93.3726647000983, 93.5889872173058, 93.1661750245821, 91.858407079646, 89.1964175007281, 57.8366306513609, 42.4664573222952,</v>
      </c>
    </row>
    <row r="39" spans="1:12">
      <c r="B39" t="s">
        <v>35</v>
      </c>
      <c r="C39">
        <f>AVERAGE(C8:C10)</f>
        <v>95.703048180924284</v>
      </c>
      <c r="D39">
        <f t="shared" ref="D39:I39" si="7">AVERAGE(D8:D10)</f>
        <v>96.588003933136676</v>
      </c>
      <c r="E39">
        <f t="shared" si="7"/>
        <v>96.135693215339231</v>
      </c>
      <c r="F39">
        <f t="shared" si="7"/>
        <v>94.257620452310718</v>
      </c>
      <c r="G39">
        <f t="shared" si="7"/>
        <v>92.664700098328424</v>
      </c>
      <c r="H39">
        <f t="shared" si="7"/>
        <v>67.794646435811146</v>
      </c>
      <c r="I39">
        <f t="shared" si="7"/>
        <v>59.292439092610373</v>
      </c>
      <c r="L39" t="str">
        <f t="shared" si="5"/>
        <v xml:space="preserve">    95.7030481809243, 96.5880039331367, 96.1356932153392, 94.2576204523107, 92.6647000983284, 67.7946464358111, 59.2924390926104,</v>
      </c>
    </row>
    <row r="40" spans="1:12">
      <c r="B40" t="s">
        <v>36</v>
      </c>
      <c r="C40">
        <f>AVERAGE(C11:C13)</f>
        <v>93.874139626352019</v>
      </c>
      <c r="D40">
        <f t="shared" ref="D40:I40" si="8">AVERAGE(D11:D13)</f>
        <v>94.110127826941991</v>
      </c>
      <c r="E40">
        <f t="shared" si="8"/>
        <v>93.077679449360858</v>
      </c>
      <c r="F40">
        <f t="shared" si="8"/>
        <v>91.701081612586037</v>
      </c>
      <c r="G40">
        <f t="shared" si="8"/>
        <v>90.720046597865618</v>
      </c>
      <c r="H40">
        <f t="shared" si="8"/>
        <v>64.863508046494047</v>
      </c>
      <c r="I40">
        <f t="shared" si="8"/>
        <v>46.286992102007794</v>
      </c>
      <c r="L40" t="str">
        <f t="shared" si="5"/>
        <v xml:space="preserve">    93.874139626352, 94.110127826942, 93.0776794493609, 91.701081612586, 90.7200465978656, 64.863508046494, 46.2869921020078,</v>
      </c>
    </row>
    <row r="41" spans="1:12">
      <c r="B41" t="s">
        <v>37</v>
      </c>
      <c r="C41">
        <f>AVERAGE(C14:C16)</f>
        <v>92.163225172074746</v>
      </c>
      <c r="D41">
        <f t="shared" ref="D41:I41" si="9">AVERAGE(D14:D16)</f>
        <v>89.144715784738636</v>
      </c>
      <c r="E41">
        <f t="shared" si="9"/>
        <v>89.469026548672559</v>
      </c>
      <c r="F41">
        <f t="shared" si="9"/>
        <v>88.003990807302259</v>
      </c>
      <c r="G41">
        <f t="shared" si="9"/>
        <v>85.774934615928075</v>
      </c>
      <c r="H41">
        <f t="shared" si="9"/>
        <v>64.152140877804584</v>
      </c>
      <c r="I41">
        <f t="shared" si="9"/>
        <v>45.786728258894982</v>
      </c>
      <c r="L41" t="str">
        <f t="shared" si="5"/>
        <v xml:space="preserve">    92.1632251720747, 89.1447157847386, 89.4690265486726, 88.0039908073023, 85.7749346159281, 64.1521408778046, 45.786728258895,</v>
      </c>
    </row>
    <row r="42" spans="1:12">
      <c r="B42" t="s">
        <v>38</v>
      </c>
      <c r="C42">
        <f>AVERAGE(C17:C19)</f>
        <v>95.663716814159287</v>
      </c>
      <c r="D42">
        <f t="shared" ref="D42:I42" si="10">AVERAGE(D17:D19)</f>
        <v>94.86731430779389</v>
      </c>
      <c r="E42">
        <f t="shared" si="10"/>
        <v>93.75620319668279</v>
      </c>
      <c r="F42">
        <f t="shared" si="10"/>
        <v>91.897853787662527</v>
      </c>
      <c r="G42">
        <f t="shared" si="10"/>
        <v>85.621069386413367</v>
      </c>
      <c r="H42">
        <f t="shared" si="10"/>
        <v>71.198309097252874</v>
      </c>
      <c r="I42">
        <f t="shared" si="10"/>
        <v>53.866181079997808</v>
      </c>
      <c r="L42" t="str">
        <f t="shared" si="5"/>
        <v xml:space="preserve">    95.6637168141593, 94.8673143077939, 93.7562031966828, 91.8978537876625, 85.6210693864134, 71.1983090972529, 53.8661810799978,</v>
      </c>
    </row>
    <row r="43" spans="1:12">
      <c r="B43" t="s">
        <v>39</v>
      </c>
      <c r="C43">
        <f>AVERAGE(C20:C22)</f>
        <v>92.595870206489678</v>
      </c>
      <c r="D43">
        <f t="shared" ref="D43:I43" si="11">AVERAGE(D20:D22)</f>
        <v>90.875122910521142</v>
      </c>
      <c r="E43">
        <f t="shared" si="11"/>
        <v>91.140667306810613</v>
      </c>
      <c r="F43">
        <f t="shared" si="11"/>
        <v>89.705014749262546</v>
      </c>
      <c r="G43">
        <f t="shared" si="11"/>
        <v>86.485436725231182</v>
      </c>
      <c r="H43">
        <f t="shared" si="11"/>
        <v>65.09690106892505</v>
      </c>
      <c r="I43">
        <f t="shared" si="11"/>
        <v>48.551342716344145</v>
      </c>
      <c r="L43" t="str">
        <f t="shared" si="5"/>
        <v xml:space="preserve">    92.5958702064897, 90.8751229105211, 91.1406673068106, 89.7050147492625, 86.4854367252312, 65.096901068925, 48.5513427163441,</v>
      </c>
    </row>
    <row r="44" spans="1:12">
      <c r="B44" t="s">
        <v>40</v>
      </c>
      <c r="C44">
        <f>AVERAGE(C23:C25)</f>
        <v>92.586037364798429</v>
      </c>
      <c r="D44">
        <f t="shared" ref="D44:I44" si="12">AVERAGE(D23:D25)</f>
        <v>92.694198623402158</v>
      </c>
      <c r="E44">
        <f t="shared" si="12"/>
        <v>92.458210422812201</v>
      </c>
      <c r="F44">
        <f t="shared" si="12"/>
        <v>88.751402117088674</v>
      </c>
      <c r="G44">
        <f t="shared" si="12"/>
        <v>85.704201593439393</v>
      </c>
      <c r="H44">
        <f t="shared" si="12"/>
        <v>57.565636380937555</v>
      </c>
      <c r="I44">
        <f t="shared" si="12"/>
        <v>42.411122356883141</v>
      </c>
      <c r="L44" t="str">
        <f t="shared" si="5"/>
        <v xml:space="preserve">    92.5860373647984, 92.6941986234022, 92.4582104228122, 88.7514021170887, 85.7042015934394, 57.5656363809376, 42.4111223568831,</v>
      </c>
    </row>
    <row r="45" spans="1:12">
      <c r="B45" t="s">
        <v>41</v>
      </c>
      <c r="C45">
        <f>AVERAGE(C26:C28)</f>
        <v>88.997050147492629</v>
      </c>
      <c r="D45">
        <f t="shared" ref="D45:I45" si="13">AVERAGE(D26:D28)</f>
        <v>86.814159292035399</v>
      </c>
      <c r="E45">
        <f t="shared" si="13"/>
        <v>84.601769911504405</v>
      </c>
      <c r="F45">
        <f t="shared" si="13"/>
        <v>85.06414415349613</v>
      </c>
      <c r="G45">
        <f t="shared" si="13"/>
        <v>81.525243874658656</v>
      </c>
      <c r="H45">
        <f t="shared" si="13"/>
        <v>67.558139199589377</v>
      </c>
      <c r="I45">
        <f t="shared" si="13"/>
        <v>55.063106082232544</v>
      </c>
      <c r="L45" t="str">
        <f t="shared" si="5"/>
        <v xml:space="preserve">    88.9970501474926, 86.8141592920354, 84.6017699115044, 85.0641441534961, 81.5252438746587, 67.5581391995894, 55.0631060822325,</v>
      </c>
    </row>
    <row r="46" spans="1:12">
      <c r="B46" t="s">
        <v>42</v>
      </c>
      <c r="C46">
        <f>AVERAGE(C29:C31)</f>
        <v>99.026548672566378</v>
      </c>
      <c r="D46">
        <f t="shared" ref="D46:I46" si="14">AVERAGE(D29:D31)</f>
        <v>98.554572271386448</v>
      </c>
      <c r="E46">
        <f t="shared" si="14"/>
        <v>98.141592920353972</v>
      </c>
      <c r="F46">
        <f t="shared" si="14"/>
        <v>96.283243511333737</v>
      </c>
      <c r="G46">
        <f t="shared" si="14"/>
        <v>95.517319930679903</v>
      </c>
      <c r="H46">
        <f t="shared" si="14"/>
        <v>83.337975818706624</v>
      </c>
      <c r="I46">
        <f t="shared" si="14"/>
        <v>62.639296187683279</v>
      </c>
      <c r="L46" t="str">
        <f t="shared" si="5"/>
        <v xml:space="preserve">    99.0265486725664, 98.5545722713864, 98.141592920354, 96.2832435113337, 95.5173199306799, 83.3379758187066, 62.6392961876833,</v>
      </c>
    </row>
    <row r="47" spans="1:12">
      <c r="B47" t="s">
        <v>32</v>
      </c>
      <c r="C47">
        <f>AVERAGE(C37:C46)</f>
        <v>93.419862340216326</v>
      </c>
      <c r="D47">
        <f t="shared" ref="D47:I47" si="15">AVERAGE(D37:D46)</f>
        <v>92.73453634258658</v>
      </c>
      <c r="E47">
        <f t="shared" si="15"/>
        <v>92.271397964803626</v>
      </c>
      <c r="F47">
        <f t="shared" si="15"/>
        <v>90.714945631017571</v>
      </c>
      <c r="G47">
        <f t="shared" si="15"/>
        <v>87.99890425811067</v>
      </c>
      <c r="H47">
        <f t="shared" si="15"/>
        <v>66.196847146889951</v>
      </c>
      <c r="I47">
        <f t="shared" si="15"/>
        <v>50.571838856737514</v>
      </c>
      <c r="L47" t="str">
        <f t="shared" si="5"/>
        <v xml:space="preserve">    93.4198623402163, 92.7345363425866, 92.2713979648036, 90.7149456310176, 87.9989042581107, 66.19684714689, 50.5718388567375,</v>
      </c>
    </row>
    <row r="49" spans="3:9">
      <c r="C49">
        <f>_xlfn.STDEV.P(C37:C46)</f>
        <v>2.7325564362126826</v>
      </c>
      <c r="D49">
        <f t="shared" ref="D49:I49" si="16">_xlfn.STDEV.P(D37:D46)</f>
        <v>3.3791667367103355</v>
      </c>
      <c r="E49">
        <f t="shared" si="16"/>
        <v>3.5114183510366326</v>
      </c>
      <c r="F49">
        <f t="shared" si="16"/>
        <v>3.0426354673396068</v>
      </c>
      <c r="G49">
        <f t="shared" si="16"/>
        <v>3.8559832470732225</v>
      </c>
      <c r="H49">
        <f t="shared" si="16"/>
        <v>6.9856413174035268</v>
      </c>
      <c r="I49">
        <f t="shared" si="16"/>
        <v>6.5712406773992988</v>
      </c>
    </row>
  </sheetData>
  <phoneticPr fontId="1" type="noConversion"/>
  <conditionalFormatting sqref="C37:I4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F08E0-F1E7-48C1-B3C0-C5EC0902C271}">
  <dimension ref="A1:L49"/>
  <sheetViews>
    <sheetView workbookViewId="0"/>
  </sheetViews>
  <sheetFormatPr defaultRowHeight="14.25"/>
  <sheetData>
    <row r="1" spans="1:12" ht="15" thickBot="1">
      <c r="A1" s="4" t="s">
        <v>48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90.412979351032448</v>
      </c>
      <c r="D2">
        <v>90.530973451327441</v>
      </c>
      <c r="E2">
        <v>89.970674486803517</v>
      </c>
      <c r="F2">
        <v>88.466076696165189</v>
      </c>
      <c r="G2">
        <v>86.755162241887916</v>
      </c>
      <c r="H2">
        <v>61.715845292779349</v>
      </c>
      <c r="I2">
        <v>49.13554615524356</v>
      </c>
      <c r="L2" t="str">
        <f t="shared" ref="L2:L31" si="0">"    "&amp;_xlfn.TEXTJOIN(", ",TRUE,C2:I2)&amp;","</f>
        <v xml:space="preserve">    90.4129793510324, 90.5309734513274, 89.9706744868035, 88.4660766961652, 86.7551622418879, 61.7158452927793, 49.1355461552436,</v>
      </c>
    </row>
    <row r="3" spans="1:12">
      <c r="B3" t="s">
        <v>1</v>
      </c>
      <c r="C3">
        <v>94.424778761061958</v>
      </c>
      <c r="D3">
        <v>93.74631268436579</v>
      </c>
      <c r="E3">
        <v>92.212389380530979</v>
      </c>
      <c r="F3">
        <v>90.855457227138643</v>
      </c>
      <c r="G3">
        <v>86.106367702142762</v>
      </c>
      <c r="H3">
        <v>63.387659062794661</v>
      </c>
      <c r="I3">
        <v>46.732411180027512</v>
      </c>
      <c r="L3" t="str">
        <f t="shared" si="0"/>
        <v xml:space="preserve">    94.424778761062, 93.7463126843658, 92.212389380531, 90.8554572271386, 86.1063677021428, 63.3876590627947, 46.7324111800275,</v>
      </c>
    </row>
    <row r="4" spans="1:12">
      <c r="B4" t="s">
        <v>2</v>
      </c>
      <c r="C4">
        <v>89.026548672566364</v>
      </c>
      <c r="D4">
        <v>88.141592920353986</v>
      </c>
      <c r="E4">
        <v>89.115044247787608</v>
      </c>
      <c r="F4">
        <v>87.581120943952811</v>
      </c>
      <c r="G4">
        <v>79.208124637756384</v>
      </c>
      <c r="H4">
        <v>59.420496717099617</v>
      </c>
      <c r="I4">
        <v>48.436405159214168</v>
      </c>
      <c r="L4" t="str">
        <f t="shared" si="0"/>
        <v xml:space="preserve">    89.0265486725664, 88.141592920354, 89.1150442477876, 87.5811209439528, 79.2081246377564, 59.4204967170996, 48.4364051592142,</v>
      </c>
    </row>
    <row r="5" spans="1:12">
      <c r="B5" t="s">
        <v>3</v>
      </c>
      <c r="C5">
        <v>91.238938053097343</v>
      </c>
      <c r="D5">
        <v>90.383480825958699</v>
      </c>
      <c r="E5">
        <v>90.619469026548671</v>
      </c>
      <c r="F5">
        <v>88.731563421828909</v>
      </c>
      <c r="G5">
        <v>85.545722713864308</v>
      </c>
      <c r="H5">
        <v>55.269163228055596</v>
      </c>
      <c r="I5">
        <v>40.857706381543103</v>
      </c>
      <c r="L5" t="str">
        <f t="shared" si="0"/>
        <v xml:space="preserve">    91.2389380530973, 90.3834808259587, 90.6194690265487, 88.7315634218289, 85.5457227138643, 55.2691632280556, 40.8577063815431,</v>
      </c>
    </row>
    <row r="6" spans="1:12">
      <c r="B6" t="s">
        <v>4</v>
      </c>
      <c r="C6">
        <v>95.103244837758126</v>
      </c>
      <c r="D6">
        <v>94.926253687315636</v>
      </c>
      <c r="E6">
        <v>95.486725663716811</v>
      </c>
      <c r="F6">
        <v>92.448377581120937</v>
      </c>
      <c r="G6">
        <v>86.548672566371678</v>
      </c>
      <c r="H6">
        <v>55.057656208098678</v>
      </c>
      <c r="I6">
        <v>45.603508680870952</v>
      </c>
      <c r="L6" t="str">
        <f t="shared" si="0"/>
        <v xml:space="preserve">    95.1032448377581, 94.9262536873156, 95.4867256637168, 92.4483775811209, 86.5486725663717, 55.0576562080987, 45.603508680871,</v>
      </c>
    </row>
    <row r="7" spans="1:12">
      <c r="B7" t="s">
        <v>5</v>
      </c>
      <c r="C7">
        <v>93.038348082595874</v>
      </c>
      <c r="D7">
        <v>91.681415929203538</v>
      </c>
      <c r="E7">
        <v>92.536873156342182</v>
      </c>
      <c r="F7">
        <v>89.233038348082601</v>
      </c>
      <c r="G7">
        <v>87.289076895128844</v>
      </c>
      <c r="H7">
        <v>52.620870422754521</v>
      </c>
      <c r="I7">
        <v>40.442650887983461</v>
      </c>
      <c r="L7" t="str">
        <f t="shared" si="0"/>
        <v xml:space="preserve">    93.0383480825959, 91.6814159292035, 92.5368731563422, 89.2330383480826, 87.2890768951288, 52.6208704227545, 40.4426508879835,</v>
      </c>
    </row>
    <row r="8" spans="1:12">
      <c r="B8" t="s">
        <v>6</v>
      </c>
      <c r="C8">
        <v>93.657817109144545</v>
      </c>
      <c r="D8">
        <v>93.451327433628322</v>
      </c>
      <c r="E8">
        <v>94.188790560471972</v>
      </c>
      <c r="F8">
        <v>88.908554572271385</v>
      </c>
      <c r="G8">
        <v>83.925206965458187</v>
      </c>
      <c r="H8">
        <v>66.308618586665972</v>
      </c>
      <c r="I8">
        <v>55.381534442339458</v>
      </c>
      <c r="L8" t="str">
        <f t="shared" si="0"/>
        <v xml:space="preserve">    93.6578171091445, 93.4513274336283, 94.188790560472, 88.9085545722714, 83.9252069654582, 66.308618586666, 55.3815344423395,</v>
      </c>
    </row>
    <row r="9" spans="1:12">
      <c r="B9" t="s">
        <v>7</v>
      </c>
      <c r="C9">
        <v>96.460176991150448</v>
      </c>
      <c r="D9">
        <v>97.905604719764</v>
      </c>
      <c r="E9">
        <v>96.755162241887916</v>
      </c>
      <c r="F9">
        <v>95.545722713864308</v>
      </c>
      <c r="G9">
        <v>87.021168003183419</v>
      </c>
      <c r="H9">
        <v>62.36239067812005</v>
      </c>
      <c r="I9">
        <v>49.261671813770008</v>
      </c>
      <c r="L9" t="str">
        <f t="shared" si="0"/>
        <v xml:space="preserve">    96.4601769911504, 97.905604719764, 96.7551622418879, 95.5457227138643, 87.0211680031834, 62.3623906781201, 49.26167181377,</v>
      </c>
    </row>
    <row r="10" spans="1:12">
      <c r="B10" t="s">
        <v>8</v>
      </c>
      <c r="C10">
        <v>97.374631268436573</v>
      </c>
      <c r="D10">
        <v>98.17109144542772</v>
      </c>
      <c r="E10">
        <v>96.843657817109147</v>
      </c>
      <c r="F10">
        <v>95.339233038348084</v>
      </c>
      <c r="G10">
        <v>92.831858407079636</v>
      </c>
      <c r="H10">
        <v>66.689504234465701</v>
      </c>
      <c r="I10">
        <v>50.051038503793293</v>
      </c>
      <c r="L10" t="str">
        <f t="shared" si="0"/>
        <v xml:space="preserve">    97.3746312684366, 98.1710914454277, 96.8436578171091, 95.3392330383481, 92.8318584070796, 66.6895042344657, 50.0510385037933,</v>
      </c>
    </row>
    <row r="11" spans="1:12">
      <c r="B11" t="s">
        <v>9</v>
      </c>
      <c r="C11">
        <v>95.988200589970504</v>
      </c>
      <c r="D11">
        <v>94.837758112094392</v>
      </c>
      <c r="E11">
        <v>95.162241887905608</v>
      </c>
      <c r="F11">
        <v>94.749262536873147</v>
      </c>
      <c r="G11">
        <v>89.857524719071961</v>
      </c>
      <c r="H11">
        <v>63.029697488732587</v>
      </c>
      <c r="I11">
        <v>43.842247770309427</v>
      </c>
      <c r="L11" t="str">
        <f t="shared" si="0"/>
        <v xml:space="preserve">    95.9882005899705, 94.8377581120944, 95.1622418879056, 94.7492625368731, 89.857524719072, 63.0296974887326, 43.8422477703094,</v>
      </c>
    </row>
    <row r="12" spans="1:12">
      <c r="B12" t="s">
        <v>10</v>
      </c>
      <c r="C12">
        <v>90.501474926253678</v>
      </c>
      <c r="D12">
        <v>89.823008849557525</v>
      </c>
      <c r="E12">
        <v>91.061946902654867</v>
      </c>
      <c r="F12">
        <v>87.079646017699105</v>
      </c>
      <c r="G12">
        <v>85.044247787610615</v>
      </c>
      <c r="H12">
        <v>63.171653734028837</v>
      </c>
      <c r="I12">
        <v>43.246567876884747</v>
      </c>
      <c r="L12" t="str">
        <f t="shared" si="0"/>
        <v xml:space="preserve">    90.5014749262537, 89.8230088495575, 91.0619469026549, 87.0796460176991, 85.0442477876106, 63.1716537340288, 43.2465678768847,</v>
      </c>
    </row>
    <row r="13" spans="1:12">
      <c r="B13" t="s">
        <v>11</v>
      </c>
      <c r="C13">
        <v>96.342182890855455</v>
      </c>
      <c r="D13">
        <v>92.772861356932154</v>
      </c>
      <c r="E13">
        <v>94.896755162241874</v>
      </c>
      <c r="F13">
        <v>92.094395280235986</v>
      </c>
      <c r="G13">
        <v>90.707964601769916</v>
      </c>
      <c r="H13">
        <v>62.84301767316326</v>
      </c>
      <c r="I13">
        <v>48.938226109222398</v>
      </c>
      <c r="L13" t="str">
        <f t="shared" si="0"/>
        <v xml:space="preserve">    96.3421828908555, 92.7728613569322, 94.8967551622419, 92.094395280236, 90.7079646017699, 62.8430176731633, 48.9382261092224,</v>
      </c>
    </row>
    <row r="14" spans="1:12">
      <c r="B14" t="s">
        <v>12</v>
      </c>
      <c r="C14">
        <v>90.884955752212392</v>
      </c>
      <c r="D14">
        <v>89.528023598820056</v>
      </c>
      <c r="E14">
        <v>88.584070796460168</v>
      </c>
      <c r="F14">
        <v>85.162760923537405</v>
      </c>
      <c r="G14">
        <v>83.750637981297416</v>
      </c>
      <c r="H14">
        <v>62.216628171523972</v>
      </c>
      <c r="I14">
        <v>51.744565264405402</v>
      </c>
      <c r="L14" t="str">
        <f t="shared" si="0"/>
        <v xml:space="preserve">    90.8849557522124, 89.5280235988201, 88.5840707964602, 85.1627609235374, 83.7506379812974, 62.216628171524, 51.7445652644054,</v>
      </c>
    </row>
    <row r="15" spans="1:12">
      <c r="B15" t="s">
        <v>13</v>
      </c>
      <c r="C15">
        <v>92.477876106194685</v>
      </c>
      <c r="D15">
        <v>92.153392330383483</v>
      </c>
      <c r="E15">
        <v>92.359882005899706</v>
      </c>
      <c r="F15">
        <v>90.914454277286126</v>
      </c>
      <c r="G15">
        <v>84.427546951098194</v>
      </c>
      <c r="H15">
        <v>54.946236559139791</v>
      </c>
      <c r="I15">
        <v>46.845733959636327</v>
      </c>
      <c r="L15" t="str">
        <f t="shared" si="0"/>
        <v xml:space="preserve">    92.4778761061947, 92.1533923303835, 92.3598820058997, 90.9144542772861, 84.4275469510982, 54.9462365591398, 46.8457339596363,</v>
      </c>
    </row>
    <row r="16" spans="1:12">
      <c r="B16" t="s">
        <v>14</v>
      </c>
      <c r="C16">
        <v>93.48082595870207</v>
      </c>
      <c r="D16">
        <v>88.554572271386434</v>
      </c>
      <c r="E16">
        <v>87.817109144542769</v>
      </c>
      <c r="F16">
        <v>83.126843657817105</v>
      </c>
      <c r="G16">
        <v>80.855457227138643</v>
      </c>
      <c r="H16">
        <v>59.74186627912006</v>
      </c>
      <c r="I16">
        <v>45.246239154317941</v>
      </c>
      <c r="L16" t="str">
        <f t="shared" si="0"/>
        <v xml:space="preserve">    93.4808259587021, 88.5545722713864, 87.8171091445428, 83.1268436578171, 80.8554572271386, 59.7418662791201, 45.2462391543179,</v>
      </c>
    </row>
    <row r="17" spans="2:12">
      <c r="B17" t="s">
        <v>15</v>
      </c>
      <c r="C17">
        <v>96.460176991150448</v>
      </c>
      <c r="D17">
        <v>94.041297935103245</v>
      </c>
      <c r="E17">
        <v>93.510324483775804</v>
      </c>
      <c r="F17">
        <v>91.209439528023594</v>
      </c>
      <c r="G17">
        <v>86.66735871417572</v>
      </c>
      <c r="H17">
        <v>69.810465488455776</v>
      </c>
      <c r="I17">
        <v>41.675879549131047</v>
      </c>
      <c r="L17" t="str">
        <f t="shared" si="0"/>
        <v xml:space="preserve">    96.4601769911504, 94.0412979351032, 93.5103244837758, 91.2094395280236, 86.6673587141757, 69.8104654884558, 41.675879549131,</v>
      </c>
    </row>
    <row r="18" spans="2:12">
      <c r="B18" t="s">
        <v>16</v>
      </c>
      <c r="C18">
        <v>93.834808259587021</v>
      </c>
      <c r="D18">
        <v>94.897620221628216</v>
      </c>
      <c r="E18">
        <v>93.156342182890853</v>
      </c>
      <c r="F18">
        <v>85.036375747195038</v>
      </c>
      <c r="G18">
        <v>80.593603750897501</v>
      </c>
      <c r="H18">
        <v>62.526319431828988</v>
      </c>
      <c r="I18">
        <v>54.158080952257379</v>
      </c>
      <c r="L18" t="str">
        <f t="shared" si="0"/>
        <v xml:space="preserve">    93.834808259587, 94.8976202216282, 93.1563421828909, 85.036375747195, 80.5936037508975, 62.526319431829, 54.1580809522574,</v>
      </c>
    </row>
    <row r="19" spans="2:12">
      <c r="B19" t="s">
        <v>17</v>
      </c>
      <c r="C19">
        <v>96.342182890855455</v>
      </c>
      <c r="D19">
        <v>95.309734513274336</v>
      </c>
      <c r="E19">
        <v>95.545722713864308</v>
      </c>
      <c r="F19">
        <v>90.973451327433636</v>
      </c>
      <c r="G19">
        <v>89.085545722713874</v>
      </c>
      <c r="H19">
        <v>71.022154170883823</v>
      </c>
      <c r="I19">
        <v>54.71474666735871</v>
      </c>
      <c r="L19" t="str">
        <f t="shared" si="0"/>
        <v xml:space="preserve">    96.3421828908555, 95.3097345132743, 95.5457227138643, 90.9734513274336, 89.0855457227139, 71.0221541708838, 54.7147466673587,</v>
      </c>
    </row>
    <row r="20" spans="2:12">
      <c r="B20" t="s">
        <v>18</v>
      </c>
      <c r="C20">
        <v>91.946902654867259</v>
      </c>
      <c r="D20">
        <v>93.185840707964601</v>
      </c>
      <c r="E20">
        <v>92.802359882005902</v>
      </c>
      <c r="F20">
        <v>91.032448377581119</v>
      </c>
      <c r="G20">
        <v>85.929203539823021</v>
      </c>
      <c r="H20">
        <v>57.755603422174929</v>
      </c>
      <c r="I20">
        <v>44.395280235988203</v>
      </c>
      <c r="L20" t="str">
        <f t="shared" si="0"/>
        <v xml:space="preserve">    91.9469026548673, 93.1858407079646, 92.8023598820059, 91.0324483775811, 85.929203539823, 57.7556034221749, 44.3952802359882,</v>
      </c>
    </row>
    <row r="21" spans="2:12">
      <c r="B21" t="s">
        <v>19</v>
      </c>
      <c r="C21">
        <v>90.029498525073748</v>
      </c>
      <c r="D21">
        <v>86.106194690265482</v>
      </c>
      <c r="E21">
        <v>83.834808259587021</v>
      </c>
      <c r="F21">
        <v>80.91601138418153</v>
      </c>
      <c r="G21">
        <v>77.560273012742329</v>
      </c>
      <c r="H21">
        <v>61.552349068763569</v>
      </c>
      <c r="I21">
        <v>49.913407555428677</v>
      </c>
      <c r="L21" t="str">
        <f t="shared" si="0"/>
        <v xml:space="preserve">    90.0294985250737, 86.1061946902655, 83.834808259587, 80.9160113841815, 77.5602730127423, 61.5523490687636, 49.9134075554287,</v>
      </c>
    </row>
    <row r="22" spans="2:12">
      <c r="B22" t="s">
        <v>20</v>
      </c>
      <c r="C22">
        <v>94.21828908554572</v>
      </c>
      <c r="D22">
        <v>95.398230088495581</v>
      </c>
      <c r="E22">
        <v>92.241887905604727</v>
      </c>
      <c r="F22">
        <v>90.707964601769916</v>
      </c>
      <c r="G22">
        <v>76.250486595904803</v>
      </c>
      <c r="H22">
        <v>65.489753371568966</v>
      </c>
      <c r="I22">
        <v>53.029870500609867</v>
      </c>
      <c r="L22" t="str">
        <f t="shared" si="0"/>
        <v xml:space="preserve">    94.2182890855457, 95.3982300884956, 92.2418879056047, 90.7079646017699, 76.2504865959048, 65.489753371569, 53.0298705006099,</v>
      </c>
    </row>
    <row r="23" spans="2:12">
      <c r="B23" t="s">
        <v>21</v>
      </c>
      <c r="C23">
        <v>91.120943952802364</v>
      </c>
      <c r="D23">
        <v>88.407079646017706</v>
      </c>
      <c r="E23">
        <v>88.849557522123888</v>
      </c>
      <c r="F23">
        <v>82.713864306784657</v>
      </c>
      <c r="G23">
        <v>79.941175961729783</v>
      </c>
      <c r="H23">
        <v>48.271784357996182</v>
      </c>
      <c r="I23">
        <v>38.287874462581847</v>
      </c>
      <c r="L23" t="str">
        <f t="shared" si="0"/>
        <v xml:space="preserve">    91.1209439528024, 88.4070796460177, 88.8495575221239, 82.7138643067847, 79.9411759617298, 48.2717843579962, 38.2878744625818,</v>
      </c>
    </row>
    <row r="24" spans="2:12">
      <c r="B24" t="s">
        <v>22</v>
      </c>
      <c r="C24">
        <v>93.48082595870207</v>
      </c>
      <c r="D24">
        <v>93.775811209439524</v>
      </c>
      <c r="E24">
        <v>94.100294985250741</v>
      </c>
      <c r="F24">
        <v>88.938053097345133</v>
      </c>
      <c r="G24">
        <v>80.010899748267718</v>
      </c>
      <c r="H24">
        <v>51.497850327424977</v>
      </c>
      <c r="I24">
        <v>42.507028607513902</v>
      </c>
      <c r="L24" t="str">
        <f t="shared" si="0"/>
        <v xml:space="preserve">    93.4808259587021, 93.7758112094395, 94.1002949852507, 88.9380530973451, 80.0108997482677, 51.497850327425, 42.5070286075139,</v>
      </c>
    </row>
    <row r="25" spans="2:12">
      <c r="B25" t="s">
        <v>23</v>
      </c>
      <c r="C25">
        <v>93.982300884955748</v>
      </c>
      <c r="D25">
        <v>92.536873156342182</v>
      </c>
      <c r="E25">
        <v>92.595870206489678</v>
      </c>
      <c r="F25">
        <v>90.501474926253678</v>
      </c>
      <c r="G25">
        <v>85.08274293030216</v>
      </c>
      <c r="H25">
        <v>50.60753120701736</v>
      </c>
      <c r="I25">
        <v>43.306776010173103</v>
      </c>
      <c r="L25" t="str">
        <f t="shared" si="0"/>
        <v xml:space="preserve">    93.9823008849557, 92.5368731563422, 92.5958702064897, 90.5014749262537, 85.0827429303022, 50.6075312070174, 43.3067760101731,</v>
      </c>
    </row>
    <row r="26" spans="2:12">
      <c r="B26" t="s">
        <v>24</v>
      </c>
      <c r="C26">
        <v>93.805309734513273</v>
      </c>
      <c r="D26">
        <v>89.380530973451329</v>
      </c>
      <c r="E26">
        <v>88.230607531207028</v>
      </c>
      <c r="F26">
        <v>88.43657817109144</v>
      </c>
      <c r="G26">
        <v>85.753077448766859</v>
      </c>
      <c r="H26">
        <v>71.448628448342987</v>
      </c>
      <c r="I26">
        <v>59.305962854349943</v>
      </c>
      <c r="L26" t="str">
        <f t="shared" si="0"/>
        <v xml:space="preserve">    93.8053097345133, 89.3805309734513, 88.230607531207, 88.4365781710914, 85.7530774487669, 71.448628448343, 59.3059628543499,</v>
      </c>
    </row>
    <row r="27" spans="2:12">
      <c r="B27" t="s">
        <v>25</v>
      </c>
      <c r="C27">
        <v>84.100294985250741</v>
      </c>
      <c r="D27">
        <v>84.454277286135692</v>
      </c>
      <c r="E27">
        <v>82.890855457227133</v>
      </c>
      <c r="F27">
        <v>79.351205460254846</v>
      </c>
      <c r="G27">
        <v>78.584589832091979</v>
      </c>
      <c r="H27">
        <v>59.594373653751333</v>
      </c>
      <c r="I27">
        <v>55.208436059135472</v>
      </c>
      <c r="L27" t="str">
        <f t="shared" si="0"/>
        <v xml:space="preserve">    84.1002949852507, 84.4542772861357, 82.8908554572271, 79.3512054602548, 78.584589832092, 59.5943736537513, 55.2084360591355,</v>
      </c>
    </row>
    <row r="28" spans="2:12">
      <c r="B28" t="s">
        <v>26</v>
      </c>
      <c r="C28">
        <v>87.728613569321539</v>
      </c>
      <c r="D28">
        <v>84.985250737463133</v>
      </c>
      <c r="E28">
        <v>85.221238938053105</v>
      </c>
      <c r="F28">
        <v>79.975345807489674</v>
      </c>
      <c r="G28">
        <v>80.97431638681995</v>
      </c>
      <c r="H28">
        <v>60.888502495696329</v>
      </c>
      <c r="I28">
        <v>48.322563343973563</v>
      </c>
      <c r="L28" t="str">
        <f t="shared" si="0"/>
        <v xml:space="preserve">    87.7286135693215, 84.9852507374631, 85.2212389380531, 79.9753458074897, 80.97431638682, 60.8885024956963, 48.3225633439736,</v>
      </c>
    </row>
    <row r="29" spans="2:12">
      <c r="B29" t="s">
        <v>27</v>
      </c>
      <c r="C29">
        <v>98.672566371681413</v>
      </c>
      <c r="D29">
        <v>98.672566371681413</v>
      </c>
      <c r="E29">
        <v>97.69911504424779</v>
      </c>
      <c r="F29">
        <v>96.607669616519175</v>
      </c>
      <c r="G29">
        <v>92.895007742281507</v>
      </c>
      <c r="H29">
        <v>73.509718942205382</v>
      </c>
      <c r="I29">
        <v>58.049983131341968</v>
      </c>
      <c r="L29" t="str">
        <f t="shared" si="0"/>
        <v xml:space="preserve">    98.6725663716814, 98.6725663716814, 97.6991150442478, 96.6076696165192, 92.8950077422815, 73.5097189422054, 58.049983131342,</v>
      </c>
    </row>
    <row r="30" spans="2:12">
      <c r="B30" t="s">
        <v>28</v>
      </c>
      <c r="C30">
        <v>98.997050147492615</v>
      </c>
      <c r="D30">
        <v>98.259587020648979</v>
      </c>
      <c r="E30">
        <v>95.899705014749273</v>
      </c>
      <c r="F30">
        <v>94.808259587020643</v>
      </c>
      <c r="G30">
        <v>89.88581216100485</v>
      </c>
      <c r="H30">
        <v>79.511327952663947</v>
      </c>
      <c r="I30">
        <v>60.101211948200238</v>
      </c>
      <c r="L30" t="str">
        <f t="shared" si="0"/>
        <v xml:space="preserve">    98.9970501474926, 98.259587020649, 95.8997050147493, 94.8082595870206, 89.8858121610048, 79.5113279526639, 60.1012119482002,</v>
      </c>
    </row>
    <row r="31" spans="2:12">
      <c r="B31" t="s">
        <v>29</v>
      </c>
      <c r="C31">
        <v>97.581120943952811</v>
      </c>
      <c r="D31">
        <v>97.079646017699105</v>
      </c>
      <c r="E31">
        <v>97.905604719764</v>
      </c>
      <c r="F31">
        <v>97.138643067846601</v>
      </c>
      <c r="G31">
        <v>94.159292035398238</v>
      </c>
      <c r="H31">
        <v>78.051799756053256</v>
      </c>
      <c r="I31">
        <v>55.343212311525193</v>
      </c>
      <c r="L31" t="str">
        <f t="shared" si="0"/>
        <v xml:space="preserve">    97.5811209439528, 97.0796460176991, 97.905604719764, 97.1386430678466, 94.1592920353982, 78.0517997560533, 55.3432123115252,</v>
      </c>
    </row>
    <row r="32" spans="2:12">
      <c r="B32" t="s">
        <v>32</v>
      </c>
      <c r="C32">
        <f>AVERAGE(C2:C31)</f>
        <v>93.423795476892835</v>
      </c>
      <c r="D32">
        <f t="shared" ref="D32:I32" si="1">AVERAGE(D2:D31)</f>
        <v>92.436607006404316</v>
      </c>
      <c r="E32">
        <f t="shared" si="1"/>
        <v>92.069836244258141</v>
      </c>
      <c r="F32">
        <f t="shared" si="1"/>
        <v>89.286109741433748</v>
      </c>
      <c r="G32">
        <f t="shared" si="1"/>
        <v>85.108270832792655</v>
      </c>
      <c r="H32">
        <f t="shared" si="1"/>
        <v>62.343982214379018</v>
      </c>
      <c r="I32">
        <f t="shared" si="1"/>
        <v>48.802878917637692</v>
      </c>
    </row>
    <row r="34" spans="1:12">
      <c r="C34" t="str">
        <f t="shared" ref="C34:D34" si="2">""&amp;_xlfn.TEXTJOIN(", ",TRUE,C2:C31)&amp;","</f>
        <v>90.4129793510324, 94.424778761062, 89.0265486725664, 91.2389380530973, 95.1032448377581, 93.0383480825959, 93.6578171091445, 96.4601769911504, 97.3746312684366, 95.9882005899705, 90.5014749262537, 96.3421828908555, 90.8849557522124, 92.4778761061947, 93.4808259587021, 96.4601769911504, 93.834808259587, 96.3421828908555, 91.9469026548673, 90.0294985250737, 94.2182890855457, 91.1209439528024, 93.4808259587021, 93.9823008849557, 93.8053097345133, 84.1002949852507, 87.7286135693215, 98.6725663716814, 98.9970501474926, 97.5811209439528,</v>
      </c>
      <c r="D34" t="str">
        <f t="shared" si="2"/>
        <v>90.5309734513274, 93.7463126843658, 88.141592920354, 90.3834808259587, 94.9262536873156, 91.6814159292035, 93.4513274336283, 97.905604719764, 98.1710914454277, 94.8377581120944, 89.8230088495575, 92.7728613569322, 89.5280235988201, 92.1533923303835, 88.5545722713864, 94.0412979351032, 94.8976202216282, 95.3097345132743, 93.1858407079646, 86.1061946902655, 95.3982300884956, 88.4070796460177, 93.7758112094395, 92.5368731563422, 89.3805309734513, 84.4542772861357, 84.9852507374631, 98.6725663716814, 98.259587020649, 97.0796460176991,</v>
      </c>
      <c r="E34" t="str">
        <f>""&amp;_xlfn.TEXTJOIN(", ",TRUE,E2:E31)&amp;","</f>
        <v>89.9706744868035, 92.212389380531, 89.1150442477876, 90.6194690265487, 95.4867256637168, 92.5368731563422, 94.188790560472, 96.7551622418879, 96.8436578171091, 95.1622418879056, 91.0619469026549, 94.8967551622419, 88.5840707964602, 92.3598820058997, 87.8171091445428, 93.5103244837758, 93.1563421828909, 95.5457227138643, 92.8023598820059, 83.834808259587, 92.2418879056047, 88.8495575221239, 94.1002949852507, 92.5958702064897, 88.230607531207, 82.8908554572271, 85.2212389380531, 97.6991150442478, 95.8997050147493, 97.905604719764,</v>
      </c>
      <c r="F34" t="str">
        <f t="shared" ref="F34:I34" si="3">""&amp;_xlfn.TEXTJOIN(", ",TRUE,F2:F31)&amp;","</f>
        <v>88.4660766961652, 90.8554572271386, 87.5811209439528, 88.7315634218289, 92.4483775811209, 89.2330383480826, 88.9085545722714, 95.5457227138643, 95.3392330383481, 94.7492625368731, 87.0796460176991, 92.094395280236, 85.1627609235374, 90.9144542772861, 83.1268436578171, 91.2094395280236, 85.036375747195, 90.9734513274336, 91.0324483775811, 80.9160113841815, 90.7079646017699, 82.7138643067847, 88.9380530973451, 90.5014749262537, 88.4365781710914, 79.3512054602548, 79.9753458074897, 96.6076696165192, 94.8082595870206, 97.1386430678466,</v>
      </c>
      <c r="G34" t="str">
        <f t="shared" si="3"/>
        <v>86.7551622418879, 86.1063677021428, 79.2081246377564, 85.5457227138643, 86.5486725663717, 87.2890768951288, 83.9252069654582, 87.0211680031834, 92.8318584070796, 89.857524719072, 85.0442477876106, 90.7079646017699, 83.7506379812974, 84.4275469510982, 80.8554572271386, 86.6673587141757, 80.5936037508975, 89.0855457227139, 85.929203539823, 77.5602730127423, 76.2504865959048, 79.9411759617298, 80.0108997482677, 85.0827429303022, 85.7530774487669, 78.584589832092, 80.97431638682, 92.8950077422815, 89.8858121610048, 94.1592920353982,</v>
      </c>
      <c r="H34" t="str">
        <f t="shared" si="3"/>
        <v>61.7158452927793, 63.3876590627947, 59.4204967170996, 55.2691632280556, 55.0576562080987, 52.6208704227545, 66.308618586666, 62.3623906781201, 66.6895042344657, 63.0296974887326, 63.1716537340288, 62.8430176731633, 62.216628171524, 54.9462365591398, 59.7418662791201, 69.8104654884558, 62.526319431829, 71.0221541708838, 57.7556034221749, 61.5523490687636, 65.489753371569, 48.2717843579962, 51.497850327425, 50.6075312070174, 71.448628448343, 59.5943736537513, 60.8885024956963, 73.5097189422054, 79.5113279526639, 78.0517997560533,</v>
      </c>
      <c r="I34" t="str">
        <f t="shared" si="3"/>
        <v>49.1355461552436, 46.7324111800275, 48.4364051592142, 40.8577063815431, 45.603508680871, 40.4426508879835, 55.3815344423395, 49.26167181377, 50.0510385037933, 43.8422477703094, 43.2465678768847, 48.9382261092224, 51.7445652644054, 46.8457339596363, 45.2462391543179, 41.675879549131, 54.1580809522574, 54.7147466673587, 44.3952802359882, 49.9134075554287, 53.0298705006099, 38.2878744625818, 42.5070286075139, 43.3067760101731, 59.3059628543499, 55.2084360591355, 48.3225633439736, 58.049983131342, 60.1012119482002, 55.3432123115252,</v>
      </c>
    </row>
    <row r="35" spans="1:12" ht="15" thickBot="1"/>
    <row r="36" spans="1:12" ht="15" thickBot="1">
      <c r="A36" s="4" t="s">
        <v>48</v>
      </c>
      <c r="B36" s="3" t="s">
        <v>30</v>
      </c>
      <c r="C36" s="1">
        <v>1</v>
      </c>
      <c r="D36" s="1">
        <v>0.75</v>
      </c>
      <c r="E36" s="1">
        <v>0.5</v>
      </c>
      <c r="F36" s="1">
        <v>0.3</v>
      </c>
      <c r="G36" s="1">
        <v>0.2</v>
      </c>
      <c r="H36" s="1">
        <v>0.1</v>
      </c>
      <c r="I36" s="2">
        <v>0.05</v>
      </c>
    </row>
    <row r="37" spans="1:12">
      <c r="B37" t="s">
        <v>33</v>
      </c>
      <c r="C37">
        <f>AVERAGE(C2:C4)</f>
        <v>91.28810226155359</v>
      </c>
      <c r="D37">
        <f t="shared" ref="D37:I37" si="4">AVERAGE(D2:D4)</f>
        <v>90.80629301868241</v>
      </c>
      <c r="E37">
        <f t="shared" si="4"/>
        <v>90.432702705040697</v>
      </c>
      <c r="F37">
        <f t="shared" si="4"/>
        <v>88.967551622418867</v>
      </c>
      <c r="G37">
        <f t="shared" si="4"/>
        <v>84.023218193929026</v>
      </c>
      <c r="H37">
        <f t="shared" si="4"/>
        <v>61.508000357557876</v>
      </c>
      <c r="I37">
        <f t="shared" si="4"/>
        <v>48.101454164828418</v>
      </c>
      <c r="L37" t="str">
        <f t="shared" ref="L37:L47" si="5">"    "&amp;_xlfn.TEXTJOIN(", ",TRUE,C37:I37)&amp;","</f>
        <v xml:space="preserve">    91.2881022615536, 90.8062930186824, 90.4327027050407, 88.9675516224189, 84.023218193929, 61.5080003575579, 48.1014541648284,</v>
      </c>
    </row>
    <row r="38" spans="1:12">
      <c r="B38" t="s">
        <v>34</v>
      </c>
      <c r="C38">
        <f>AVERAGE(C5:C7)</f>
        <v>93.126843657817119</v>
      </c>
      <c r="D38">
        <f t="shared" ref="D38:I38" si="6">AVERAGE(D5:D7)</f>
        <v>92.330383480825958</v>
      </c>
      <c r="E38">
        <f t="shared" si="6"/>
        <v>92.881022615535883</v>
      </c>
      <c r="F38">
        <f t="shared" si="6"/>
        <v>90.137659783677478</v>
      </c>
      <c r="G38">
        <f t="shared" si="6"/>
        <v>86.461157391788277</v>
      </c>
      <c r="H38">
        <f t="shared" si="6"/>
        <v>54.31589661963627</v>
      </c>
      <c r="I38">
        <f t="shared" si="6"/>
        <v>42.301288650132506</v>
      </c>
      <c r="L38" t="str">
        <f t="shared" si="5"/>
        <v xml:space="preserve">    93.1268436578171, 92.330383480826, 92.8810226155359, 90.1376597836775, 86.4611573917883, 54.3158966196363, 42.3012886501325,</v>
      </c>
    </row>
    <row r="39" spans="1:12">
      <c r="B39" t="s">
        <v>35</v>
      </c>
      <c r="C39">
        <f>AVERAGE(C8:C10)</f>
        <v>95.830875122910527</v>
      </c>
      <c r="D39">
        <f t="shared" ref="D39:I39" si="7">AVERAGE(D8:D10)</f>
        <v>96.509341199606681</v>
      </c>
      <c r="E39">
        <f t="shared" si="7"/>
        <v>95.929203539823007</v>
      </c>
      <c r="F39">
        <f t="shared" si="7"/>
        <v>93.264503441494597</v>
      </c>
      <c r="G39">
        <f t="shared" si="7"/>
        <v>87.926077791907076</v>
      </c>
      <c r="H39">
        <f t="shared" si="7"/>
        <v>65.120171166417251</v>
      </c>
      <c r="I39">
        <f t="shared" si="7"/>
        <v>51.564748253300912</v>
      </c>
      <c r="L39" t="str">
        <f t="shared" si="5"/>
        <v xml:space="preserve">    95.8308751229105, 96.5093411996067, 95.929203539823, 93.2645034414946, 87.9260777919071, 65.1201711664173, 51.5647482533009,</v>
      </c>
    </row>
    <row r="40" spans="1:12">
      <c r="B40" t="s">
        <v>36</v>
      </c>
      <c r="C40">
        <f>AVERAGE(C11:C13)</f>
        <v>94.277286135693203</v>
      </c>
      <c r="D40">
        <f t="shared" ref="D40:I40" si="8">AVERAGE(D11:D13)</f>
        <v>92.477876106194685</v>
      </c>
      <c r="E40">
        <f t="shared" si="8"/>
        <v>93.706981317600778</v>
      </c>
      <c r="F40">
        <f t="shared" si="8"/>
        <v>91.307767944936074</v>
      </c>
      <c r="G40">
        <f t="shared" si="8"/>
        <v>88.536579036150826</v>
      </c>
      <c r="H40">
        <f t="shared" si="8"/>
        <v>63.014789631974885</v>
      </c>
      <c r="I40">
        <f t="shared" si="8"/>
        <v>45.342347252138858</v>
      </c>
      <c r="L40" t="str">
        <f t="shared" si="5"/>
        <v xml:space="preserve">    94.2772861356932, 92.4778761061947, 93.7069813176008, 91.3077679449361, 88.5365790361508, 63.0147896319749, 45.3423472521389,</v>
      </c>
    </row>
    <row r="41" spans="1:12">
      <c r="B41" t="s">
        <v>37</v>
      </c>
      <c r="C41">
        <f>AVERAGE(C14:C16)</f>
        <v>92.281219272369711</v>
      </c>
      <c r="D41">
        <f t="shared" ref="D41:I41" si="9">AVERAGE(D14:D16)</f>
        <v>90.078662733529995</v>
      </c>
      <c r="E41">
        <f t="shared" si="9"/>
        <v>89.587020648967552</v>
      </c>
      <c r="F41">
        <f t="shared" si="9"/>
        <v>86.401352952880202</v>
      </c>
      <c r="G41">
        <f t="shared" si="9"/>
        <v>83.01121405317808</v>
      </c>
      <c r="H41">
        <f t="shared" si="9"/>
        <v>58.968243669927936</v>
      </c>
      <c r="I41">
        <f t="shared" si="9"/>
        <v>47.945512792786559</v>
      </c>
      <c r="L41" t="str">
        <f t="shared" si="5"/>
        <v xml:space="preserve">    92.2812192723697, 90.07866273353, 89.5870206489676, 86.4013529528802, 83.0112140531781, 58.9682436699279, 47.9455127927866,</v>
      </c>
    </row>
    <row r="42" spans="1:12">
      <c r="B42" t="s">
        <v>38</v>
      </c>
      <c r="C42">
        <f>AVERAGE(C17:C19)</f>
        <v>95.545722713864293</v>
      </c>
      <c r="D42">
        <f t="shared" ref="D42:I42" si="10">AVERAGE(D17:D19)</f>
        <v>94.749550890001942</v>
      </c>
      <c r="E42">
        <f t="shared" si="10"/>
        <v>94.070796460176993</v>
      </c>
      <c r="F42">
        <f t="shared" si="10"/>
        <v>89.073088867550766</v>
      </c>
      <c r="G42">
        <f t="shared" si="10"/>
        <v>85.448836062595703</v>
      </c>
      <c r="H42">
        <f t="shared" si="10"/>
        <v>67.786313030389536</v>
      </c>
      <c r="I42">
        <f t="shared" si="10"/>
        <v>50.182902389582374</v>
      </c>
      <c r="L42" t="str">
        <f t="shared" si="5"/>
        <v xml:space="preserve">    95.5457227138643, 94.7495508900019, 94.070796460177, 89.0730888675508, 85.4488360625957, 67.7863130303895, 50.1829023895824,</v>
      </c>
    </row>
    <row r="43" spans="1:12">
      <c r="B43" t="s">
        <v>39</v>
      </c>
      <c r="C43">
        <f>AVERAGE(C20:C22)</f>
        <v>92.064896755162238</v>
      </c>
      <c r="D43">
        <f t="shared" ref="D43:I43" si="11">AVERAGE(D20:D22)</f>
        <v>91.563421828908574</v>
      </c>
      <c r="E43">
        <f t="shared" si="11"/>
        <v>89.62635201573255</v>
      </c>
      <c r="F43">
        <f t="shared" si="11"/>
        <v>87.552141454510846</v>
      </c>
      <c r="G43">
        <f t="shared" si="11"/>
        <v>79.913321049490051</v>
      </c>
      <c r="H43">
        <f t="shared" si="11"/>
        <v>61.599235287502495</v>
      </c>
      <c r="I43">
        <f t="shared" si="11"/>
        <v>49.112852764008913</v>
      </c>
      <c r="L43" t="str">
        <f t="shared" si="5"/>
        <v xml:space="preserve">    92.0648967551622, 91.5634218289086, 89.6263520157326, 87.5521414545108, 79.9133210494901, 61.5992352875025, 49.1128527640089,</v>
      </c>
    </row>
    <row r="44" spans="1:12">
      <c r="B44" t="s">
        <v>40</v>
      </c>
      <c r="C44">
        <f>AVERAGE(C23:C25)</f>
        <v>92.861356932153399</v>
      </c>
      <c r="D44">
        <f t="shared" ref="D44:I44" si="12">AVERAGE(D23:D25)</f>
        <v>91.573254670599795</v>
      </c>
      <c r="E44">
        <f t="shared" si="12"/>
        <v>91.848574237954764</v>
      </c>
      <c r="F44">
        <f t="shared" si="12"/>
        <v>87.384464110127809</v>
      </c>
      <c r="G44">
        <f t="shared" si="12"/>
        <v>81.678272880099883</v>
      </c>
      <c r="H44">
        <f t="shared" si="12"/>
        <v>50.125721964146173</v>
      </c>
      <c r="I44">
        <f t="shared" si="12"/>
        <v>41.367226360089624</v>
      </c>
      <c r="L44" t="str">
        <f t="shared" si="5"/>
        <v xml:space="preserve">    92.8613569321534, 91.5732546705998, 91.8485742379548, 87.3844641101278, 81.6782728800999, 50.1257219641462, 41.3672263600896,</v>
      </c>
    </row>
    <row r="45" spans="1:12">
      <c r="B45" t="s">
        <v>41</v>
      </c>
      <c r="C45">
        <f>AVERAGE(C26:C28)</f>
        <v>88.544739429695184</v>
      </c>
      <c r="D45">
        <f t="shared" ref="D45:I45" si="13">AVERAGE(D26:D28)</f>
        <v>86.273352999016723</v>
      </c>
      <c r="E45">
        <f t="shared" si="13"/>
        <v>85.447567308829093</v>
      </c>
      <c r="F45">
        <f t="shared" si="13"/>
        <v>82.58770981294532</v>
      </c>
      <c r="G45">
        <f t="shared" si="13"/>
        <v>81.77066122255961</v>
      </c>
      <c r="H45">
        <f t="shared" si="13"/>
        <v>63.977168199263552</v>
      </c>
      <c r="I45">
        <f t="shared" si="13"/>
        <v>54.278987419152998</v>
      </c>
      <c r="L45" t="str">
        <f t="shared" si="5"/>
        <v xml:space="preserve">    88.5447394296952, 86.2733529990167, 85.4475673088291, 82.5877098129453, 81.7706612225596, 63.9771681992636, 54.278987419153,</v>
      </c>
    </row>
    <row r="46" spans="1:12">
      <c r="B46" t="s">
        <v>42</v>
      </c>
      <c r="C46">
        <f>AVERAGE(C29:C31)</f>
        <v>98.416912487708942</v>
      </c>
      <c r="D46">
        <f t="shared" ref="D46:I46" si="14">AVERAGE(D29:D31)</f>
        <v>98.003933136676508</v>
      </c>
      <c r="E46">
        <f t="shared" si="14"/>
        <v>97.16814159292035</v>
      </c>
      <c r="F46">
        <f t="shared" si="14"/>
        <v>96.184857423795464</v>
      </c>
      <c r="G46">
        <f t="shared" si="14"/>
        <v>92.313370646228194</v>
      </c>
      <c r="H46">
        <f t="shared" si="14"/>
        <v>77.0242822169742</v>
      </c>
      <c r="I46">
        <f t="shared" si="14"/>
        <v>57.831469130355799</v>
      </c>
      <c r="L46" t="str">
        <f t="shared" si="5"/>
        <v xml:space="preserve">    98.4169124877089, 98.0039331366765, 97.1681415929203, 96.1848574237955, 92.3133706462282, 77.0242822169742, 57.8314691303558,</v>
      </c>
    </row>
    <row r="47" spans="1:12">
      <c r="B47" t="s">
        <v>32</v>
      </c>
      <c r="C47">
        <f>AVERAGE(C37:C46)</f>
        <v>93.42379547689282</v>
      </c>
      <c r="D47">
        <f t="shared" ref="D47:I47" si="15">AVERAGE(D37:D46)</f>
        <v>92.43660700640433</v>
      </c>
      <c r="E47">
        <f t="shared" si="15"/>
        <v>92.069836244258155</v>
      </c>
      <c r="F47">
        <f t="shared" si="15"/>
        <v>89.286109741433748</v>
      </c>
      <c r="G47">
        <f t="shared" si="15"/>
        <v>85.108270832792684</v>
      </c>
      <c r="H47">
        <f t="shared" si="15"/>
        <v>62.343982214379025</v>
      </c>
      <c r="I47">
        <f t="shared" si="15"/>
        <v>48.802878917637692</v>
      </c>
      <c r="L47" t="str">
        <f t="shared" si="5"/>
        <v xml:space="preserve">    93.4237954768928, 92.4366070064043, 92.0698362442582, 89.2861097414337, 85.1082708327927, 62.343982214379, 48.8028789176377,</v>
      </c>
    </row>
    <row r="49" spans="3:9">
      <c r="C49">
        <f>_xlfn.STDEV.P(C37:C46)</f>
        <v>2.6053646280300424</v>
      </c>
      <c r="D49">
        <f t="shared" ref="D49:I49" si="16">_xlfn.STDEV.P(D37:D46)</f>
        <v>3.1726382475158723</v>
      </c>
      <c r="E49">
        <f t="shared" si="16"/>
        <v>3.270292645393746</v>
      </c>
      <c r="F49">
        <f t="shared" si="16"/>
        <v>3.5804010670580966</v>
      </c>
      <c r="G49">
        <f t="shared" si="16"/>
        <v>3.5919367577637273</v>
      </c>
      <c r="H49">
        <f t="shared" si="16"/>
        <v>6.9450690655794363</v>
      </c>
      <c r="I49">
        <f t="shared" si="16"/>
        <v>4.8155335537434674</v>
      </c>
    </row>
  </sheetData>
  <phoneticPr fontId="1" type="noConversion"/>
  <conditionalFormatting sqref="C37:I4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11D4-DC2D-4B58-B6E1-9B3D38D5C9B5}">
  <dimension ref="A1:L49"/>
  <sheetViews>
    <sheetView workbookViewId="0"/>
  </sheetViews>
  <sheetFormatPr defaultRowHeight="14.25"/>
  <sheetData>
    <row r="1" spans="1:12" ht="15" thickBot="1">
      <c r="A1" s="4" t="s">
        <v>49</v>
      </c>
      <c r="B1" s="3" t="s">
        <v>30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0</v>
      </c>
      <c r="C2">
        <v>90.619469026548671</v>
      </c>
      <c r="D2">
        <v>87.964601769911511</v>
      </c>
      <c r="E2">
        <v>90.235988200589958</v>
      </c>
      <c r="F2">
        <v>89.469026548672574</v>
      </c>
      <c r="G2">
        <v>85.811209439528028</v>
      </c>
      <c r="H2">
        <v>64.541475272277438</v>
      </c>
      <c r="I2">
        <v>44.698570056834399</v>
      </c>
      <c r="L2" t="str">
        <f t="shared" ref="L2:L31" si="0">"    "&amp;_xlfn.TEXTJOIN(", ",TRUE,C2:I2)&amp;","</f>
        <v xml:space="preserve">    90.6194690265487, 87.9646017699115, 90.23598820059, 89.4690265486726, 85.811209439528, 64.5414752722774, 44.6985700568344,</v>
      </c>
    </row>
    <row r="3" spans="1:12">
      <c r="B3" t="s">
        <v>1</v>
      </c>
      <c r="C3">
        <v>94.247787610619469</v>
      </c>
      <c r="D3">
        <v>93.952802359882</v>
      </c>
      <c r="E3">
        <v>93.74631268436579</v>
      </c>
      <c r="F3">
        <v>90.973451327433622</v>
      </c>
      <c r="G3">
        <v>88.763484113184376</v>
      </c>
      <c r="H3">
        <v>60.907879825950047</v>
      </c>
      <c r="I3">
        <v>48.705179110545942</v>
      </c>
      <c r="L3" t="str">
        <f t="shared" si="0"/>
        <v xml:space="preserve">    94.2477876106195, 93.952802359882, 93.7463126843658, 90.9734513274336, 88.7634841131844, 60.90787982595, 48.7051791105459,</v>
      </c>
    </row>
    <row r="4" spans="1:12">
      <c r="B4" t="s">
        <v>2</v>
      </c>
      <c r="C4">
        <v>88.023598820058993</v>
      </c>
      <c r="D4">
        <v>89.174041297935105</v>
      </c>
      <c r="E4">
        <v>88.377581120943958</v>
      </c>
      <c r="F4">
        <v>87.492625368731552</v>
      </c>
      <c r="G4">
        <v>85.339233038348084</v>
      </c>
      <c r="H4">
        <v>59.183989480877862</v>
      </c>
      <c r="I4">
        <v>46.239413835759827</v>
      </c>
      <c r="L4" t="str">
        <f t="shared" si="0"/>
        <v xml:space="preserve">    88.023598820059, 89.1740412979351, 88.377581120944, 87.4926253687316, 85.3392330383481, 59.1839894808779, 46.2394138357598,</v>
      </c>
    </row>
    <row r="5" spans="1:12">
      <c r="B5" t="s">
        <v>3</v>
      </c>
      <c r="C5">
        <v>91.65191740412979</v>
      </c>
      <c r="D5">
        <v>91.976401179941007</v>
      </c>
      <c r="E5">
        <v>91.799410029498532</v>
      </c>
      <c r="F5">
        <v>90.973451327433622</v>
      </c>
      <c r="G5">
        <v>87.610619469026545</v>
      </c>
      <c r="H5">
        <v>60.074308601285473</v>
      </c>
      <c r="I5">
        <v>46.287684149516863</v>
      </c>
      <c r="L5" t="str">
        <f t="shared" si="0"/>
        <v xml:space="preserve">    91.6519174041298, 91.976401179941, 91.7994100294985, 90.9734513274336, 87.6106194690265, 60.0743086012855, 46.2876841495169,</v>
      </c>
    </row>
    <row r="6" spans="1:12">
      <c r="B6" t="s">
        <v>4</v>
      </c>
      <c r="C6">
        <v>95.811209439528028</v>
      </c>
      <c r="D6">
        <v>94.926253687315636</v>
      </c>
      <c r="E6">
        <v>94.749262536873147</v>
      </c>
      <c r="F6">
        <v>93.923303834808252</v>
      </c>
      <c r="G6">
        <v>87.020648967551622</v>
      </c>
      <c r="H6">
        <v>64.998659157951195</v>
      </c>
      <c r="I6">
        <v>56.521423195702383</v>
      </c>
      <c r="L6" t="str">
        <f t="shared" si="0"/>
        <v xml:space="preserve">    95.811209439528, 94.9262536873156, 94.7492625368731, 93.9233038348083, 87.0206489675516, 64.9986591579512, 56.5214231957024,</v>
      </c>
    </row>
    <row r="7" spans="1:12">
      <c r="B7" t="s">
        <v>5</v>
      </c>
      <c r="C7">
        <v>93.716814159292042</v>
      </c>
      <c r="D7">
        <v>95.103244837758112</v>
      </c>
      <c r="E7">
        <v>93.539823008849552</v>
      </c>
      <c r="F7">
        <v>94.070796460176979</v>
      </c>
      <c r="G7">
        <v>87.846607669616517</v>
      </c>
      <c r="H7">
        <v>54.684556094775907</v>
      </c>
      <c r="I7">
        <v>42.674071575013627</v>
      </c>
      <c r="L7" t="str">
        <f t="shared" si="0"/>
        <v xml:space="preserve">    93.716814159292, 95.1032448377581, 93.5398230088496, 94.070796460177, 87.8466076696165, 54.6845560947759, 42.6740715750136,</v>
      </c>
    </row>
    <row r="8" spans="1:12">
      <c r="B8" t="s">
        <v>6</v>
      </c>
      <c r="C8">
        <v>93.185840707964601</v>
      </c>
      <c r="D8">
        <v>93.74631268436579</v>
      </c>
      <c r="E8">
        <v>92.890855457227147</v>
      </c>
      <c r="F8">
        <v>92.035398230088504</v>
      </c>
      <c r="G8">
        <v>87.935103244837748</v>
      </c>
      <c r="H8">
        <v>67.347814427460449</v>
      </c>
      <c r="I8">
        <v>61.775880414190432</v>
      </c>
      <c r="L8" t="str">
        <f t="shared" si="0"/>
        <v xml:space="preserve">    93.1858407079646, 93.7463126843658, 92.8908554572271, 92.0353982300885, 87.9351032448377, 67.3478144274604, 61.7758804141904,</v>
      </c>
    </row>
    <row r="9" spans="1:12">
      <c r="B9" t="s">
        <v>7</v>
      </c>
      <c r="C9">
        <v>96.489675516224196</v>
      </c>
      <c r="D9">
        <v>98.023598820058993</v>
      </c>
      <c r="E9">
        <v>97.43362831858407</v>
      </c>
      <c r="F9">
        <v>94.749262536873147</v>
      </c>
      <c r="G9">
        <v>91.68176195295807</v>
      </c>
      <c r="H9">
        <v>65.809392814816732</v>
      </c>
      <c r="I9">
        <v>55.881711779513658</v>
      </c>
      <c r="L9" t="str">
        <f t="shared" si="0"/>
        <v xml:space="preserve">    96.4896755162242, 98.023598820059, 97.4336283185841, 94.7492625368731, 91.6817619529581, 65.8093928148167, 55.8817117795137,</v>
      </c>
    </row>
    <row r="10" spans="1:12">
      <c r="B10" t="s">
        <v>8</v>
      </c>
      <c r="C10">
        <v>97.492625368731566</v>
      </c>
      <c r="D10">
        <v>98.112094395280238</v>
      </c>
      <c r="E10">
        <v>97.610619469026545</v>
      </c>
      <c r="F10">
        <v>95.309734513274336</v>
      </c>
      <c r="G10">
        <v>93.923303834808252</v>
      </c>
      <c r="H10">
        <v>71.3211186947984</v>
      </c>
      <c r="I10">
        <v>60.955977127829833</v>
      </c>
      <c r="L10" t="str">
        <f t="shared" si="0"/>
        <v xml:space="preserve">    97.4926253687316, 98.1120943952802, 97.6106194690265, 95.3097345132743, 93.9233038348083, 71.3211186947984, 60.9559771278298,</v>
      </c>
    </row>
    <row r="11" spans="1:12">
      <c r="B11" t="s">
        <v>9</v>
      </c>
      <c r="C11">
        <v>96.106194690265482</v>
      </c>
      <c r="D11">
        <v>94.86725663716814</v>
      </c>
      <c r="E11">
        <v>95.663716814159301</v>
      </c>
      <c r="F11">
        <v>94.277286135693217</v>
      </c>
      <c r="G11">
        <v>90.619469026548671</v>
      </c>
      <c r="H11">
        <v>64.024688794885762</v>
      </c>
      <c r="I11">
        <v>44.903502625455232</v>
      </c>
      <c r="L11" t="str">
        <f t="shared" si="0"/>
        <v xml:space="preserve">    96.1061946902655, 94.8672566371681, 95.6637168141593, 94.2772861356932, 90.6194690265487, 64.0246887948858, 44.9035026254552,</v>
      </c>
    </row>
    <row r="12" spans="1:12">
      <c r="B12" t="s">
        <v>10</v>
      </c>
      <c r="C12">
        <v>92.064896755162238</v>
      </c>
      <c r="D12">
        <v>92.241887905604727</v>
      </c>
      <c r="E12">
        <v>90.324483775811217</v>
      </c>
      <c r="F12">
        <v>89.115044247787608</v>
      </c>
      <c r="G12">
        <v>87.582505038970936</v>
      </c>
      <c r="H12">
        <v>65.986556977136473</v>
      </c>
      <c r="I12">
        <v>47.280599313142837</v>
      </c>
      <c r="L12" t="str">
        <f t="shared" si="0"/>
        <v xml:space="preserve">    92.0648967551622, 92.2418879056047, 90.3244837758112, 89.1150442477876, 87.5825050389709, 65.9865569771365, 47.2805993131428,</v>
      </c>
    </row>
    <row r="13" spans="1:12">
      <c r="B13" t="s">
        <v>11</v>
      </c>
      <c r="C13">
        <v>95.78171091445428</v>
      </c>
      <c r="D13">
        <v>94.86725663716814</v>
      </c>
      <c r="E13">
        <v>93.421828908554573</v>
      </c>
      <c r="F13">
        <v>93.834808259587021</v>
      </c>
      <c r="G13">
        <v>93.716814159292042</v>
      </c>
      <c r="H13">
        <v>68.031816884229102</v>
      </c>
      <c r="I13">
        <v>51.396292355470202</v>
      </c>
      <c r="L13" t="str">
        <f t="shared" si="0"/>
        <v xml:space="preserve">    95.7817109144543, 94.8672566371681, 93.4218289085546, 93.834808259587, 93.716814159292, 68.0318168842291, 51.3962923554702,</v>
      </c>
    </row>
    <row r="14" spans="1:12">
      <c r="B14" t="s">
        <v>12</v>
      </c>
      <c r="C14">
        <v>90.412979351032448</v>
      </c>
      <c r="D14">
        <v>89.410029498525063</v>
      </c>
      <c r="E14">
        <v>86.666666666666657</v>
      </c>
      <c r="F14">
        <v>86.430678466076699</v>
      </c>
      <c r="G14">
        <v>82.423896400487891</v>
      </c>
      <c r="H14">
        <v>73.16845301429943</v>
      </c>
      <c r="I14">
        <v>51.138331646467527</v>
      </c>
      <c r="L14" t="str">
        <f t="shared" si="0"/>
        <v xml:space="preserve">    90.4129793510324, 89.4100294985251, 86.6666666666667, 86.4306784660767, 82.4238964004879, 73.1684530142994, 51.1383316464675,</v>
      </c>
    </row>
    <row r="15" spans="1:12">
      <c r="B15" t="s">
        <v>13</v>
      </c>
      <c r="C15">
        <v>93.775811209439524</v>
      </c>
      <c r="D15">
        <v>92.979351032448378</v>
      </c>
      <c r="E15">
        <v>92.182890855457231</v>
      </c>
      <c r="F15">
        <v>90.294985250737469</v>
      </c>
      <c r="G15">
        <v>88.908554572271385</v>
      </c>
      <c r="H15">
        <v>57.872991980899492</v>
      </c>
      <c r="I15">
        <v>45.788977413299428</v>
      </c>
      <c r="L15" t="str">
        <f t="shared" si="0"/>
        <v xml:space="preserve">    93.7758112094395, 92.9793510324484, 92.1828908554572, 90.2949852507375, 88.9085545722714, 57.8729919808995, 45.7889774132994,</v>
      </c>
    </row>
    <row r="16" spans="1:12">
      <c r="B16" t="s">
        <v>14</v>
      </c>
      <c r="C16">
        <v>91.769911504424783</v>
      </c>
      <c r="D16">
        <v>87.227311654945112</v>
      </c>
      <c r="E16">
        <v>88.554572271386434</v>
      </c>
      <c r="F16">
        <v>83.610238842896564</v>
      </c>
      <c r="G16">
        <v>81.091618439605881</v>
      </c>
      <c r="H16">
        <v>57.122552963260929</v>
      </c>
      <c r="I16">
        <v>40.174395972283499</v>
      </c>
      <c r="L16" t="str">
        <f t="shared" si="0"/>
        <v xml:space="preserve">    91.7699115044248, 87.2273116549451, 88.5545722713864, 83.6102388428966, 81.0916184396059, 57.1225529632609, 40.1743959722835,</v>
      </c>
    </row>
    <row r="17" spans="2:12">
      <c r="B17" t="s">
        <v>15</v>
      </c>
      <c r="C17">
        <v>95.78171091445428</v>
      </c>
      <c r="D17">
        <v>93.392330383480825</v>
      </c>
      <c r="E17">
        <v>93.539823008849552</v>
      </c>
      <c r="F17">
        <v>91.150442477876112</v>
      </c>
      <c r="G17">
        <v>85.899705014749259</v>
      </c>
      <c r="H17">
        <v>72.284535333350647</v>
      </c>
      <c r="I17">
        <v>48.872135572107027</v>
      </c>
      <c r="L17" t="str">
        <f t="shared" si="0"/>
        <v xml:space="preserve">    95.7817109144543, 93.3923303834808, 93.5398230088496, 91.1504424778761, 85.8997050147493, 72.2845353333506, 48.872135572107,</v>
      </c>
    </row>
    <row r="18" spans="2:12">
      <c r="B18" t="s">
        <v>16</v>
      </c>
      <c r="C18">
        <v>93.362831858407077</v>
      </c>
      <c r="D18">
        <v>93.835154283341552</v>
      </c>
      <c r="E18">
        <v>92.448723604875482</v>
      </c>
      <c r="F18">
        <v>91.563594840785825</v>
      </c>
      <c r="G18">
        <v>81.869652851668278</v>
      </c>
      <c r="H18">
        <v>64.143374942689817</v>
      </c>
      <c r="I18">
        <v>58.412789037967457</v>
      </c>
      <c r="L18" t="str">
        <f t="shared" si="0"/>
        <v xml:space="preserve">    93.3628318584071, 93.8351542833416, 92.4487236048755, 91.5635948407858, 81.8696528516683, 64.1433749426898, 58.4127890379675,</v>
      </c>
    </row>
    <row r="19" spans="2:12">
      <c r="B19" t="s">
        <v>17</v>
      </c>
      <c r="C19">
        <v>96.666666666666671</v>
      </c>
      <c r="D19">
        <v>95.044247787610615</v>
      </c>
      <c r="E19">
        <v>94.601769911504419</v>
      </c>
      <c r="F19">
        <v>94.306784660766965</v>
      </c>
      <c r="G19">
        <v>90.206489675516224</v>
      </c>
      <c r="H19">
        <v>73.267156290279331</v>
      </c>
      <c r="I19">
        <v>63.96776788726546</v>
      </c>
      <c r="L19" t="str">
        <f t="shared" si="0"/>
        <v xml:space="preserve">    96.6666666666667, 95.0442477876106, 94.6017699115044, 94.306784660767, 90.2064896755162, 73.2671562902793, 63.9677678872655,</v>
      </c>
    </row>
    <row r="20" spans="2:12">
      <c r="B20" t="s">
        <v>18</v>
      </c>
      <c r="C20">
        <v>93.362831858407077</v>
      </c>
      <c r="D20">
        <v>94.100294985250741</v>
      </c>
      <c r="E20">
        <v>93.185840707964601</v>
      </c>
      <c r="F20">
        <v>93.834808259587021</v>
      </c>
      <c r="G20">
        <v>89.911504424778769</v>
      </c>
      <c r="H20">
        <v>62.092232631770173</v>
      </c>
      <c r="I20">
        <v>47.279215218124733</v>
      </c>
      <c r="L20" t="str">
        <f t="shared" si="0"/>
        <v xml:space="preserve">    93.3628318584071, 94.1002949852507, 93.1858407079646, 93.834808259587, 89.9115044247788, 62.0922326317702, 47.2792152181247,</v>
      </c>
    </row>
    <row r="21" spans="2:12">
      <c r="B21" t="s">
        <v>19</v>
      </c>
      <c r="C21">
        <v>89.262536873156336</v>
      </c>
      <c r="D21">
        <v>86.489675516224196</v>
      </c>
      <c r="E21">
        <v>86.312684365781706</v>
      </c>
      <c r="F21">
        <v>84.336456197717979</v>
      </c>
      <c r="G21">
        <v>75.996159136324707</v>
      </c>
      <c r="H21">
        <v>61.930639538404307</v>
      </c>
      <c r="I21">
        <v>47.46502997430774</v>
      </c>
      <c r="L21" t="str">
        <f t="shared" si="0"/>
        <v xml:space="preserve">    89.2625368731563, 86.4896755162242, 86.3126843657817, 84.336456197718, 75.9961591363247, 61.9306395384043, 47.4650299743077,</v>
      </c>
    </row>
    <row r="22" spans="2:12">
      <c r="B22" t="s">
        <v>20</v>
      </c>
      <c r="C22">
        <v>94.542772861356937</v>
      </c>
      <c r="D22">
        <v>93.392330383480825</v>
      </c>
      <c r="E22">
        <v>93.244837758112084</v>
      </c>
      <c r="F22">
        <v>92.920526994178161</v>
      </c>
      <c r="G22">
        <v>91.740412979351021</v>
      </c>
      <c r="H22">
        <v>75.368472045605927</v>
      </c>
      <c r="I22">
        <v>53.971920172319827</v>
      </c>
      <c r="L22" t="str">
        <f t="shared" si="0"/>
        <v xml:space="preserve">    94.5427728613569, 93.3923303834808, 93.2448377581121, 92.9205269941782, 91.740412979351, 75.3684720456059, 53.9719201723198,</v>
      </c>
    </row>
    <row r="23" spans="2:12">
      <c r="B23" t="s">
        <v>21</v>
      </c>
      <c r="C23">
        <v>92.359882005899706</v>
      </c>
      <c r="D23">
        <v>90.442477876106196</v>
      </c>
      <c r="E23">
        <v>88.879056047197636</v>
      </c>
      <c r="F23">
        <v>88.43657817109144</v>
      </c>
      <c r="G23">
        <v>75.593387486050915</v>
      </c>
      <c r="H23">
        <v>49.810032958762619</v>
      </c>
      <c r="I23">
        <v>46.550229673267069</v>
      </c>
      <c r="L23" t="str">
        <f t="shared" si="0"/>
        <v xml:space="preserve">    92.3598820058997, 90.4424778761062, 88.8790560471976, 88.4365781710914, 75.5933874860509, 49.8100329587626, 46.5502296732671,</v>
      </c>
    </row>
    <row r="24" spans="2:12">
      <c r="B24" t="s">
        <v>22</v>
      </c>
      <c r="C24">
        <v>93.451327433628322</v>
      </c>
      <c r="D24">
        <v>95.103244837758112</v>
      </c>
      <c r="E24">
        <v>93.805309734513273</v>
      </c>
      <c r="F24">
        <v>92.507374631268434</v>
      </c>
      <c r="G24">
        <v>85.840707964601762</v>
      </c>
      <c r="H24">
        <v>57.611744046228772</v>
      </c>
      <c r="I24">
        <v>45.280582011955119</v>
      </c>
      <c r="L24" t="str">
        <f t="shared" si="0"/>
        <v xml:space="preserve">    93.4513274336283, 95.1032448377581, 93.8053097345133, 92.5073746312684, 85.8407079646018, 57.6117440462288, 45.2805820119551,</v>
      </c>
    </row>
    <row r="25" spans="2:12">
      <c r="B25" t="s">
        <v>23</v>
      </c>
      <c r="C25">
        <v>94.188790560471972</v>
      </c>
      <c r="D25">
        <v>93.392330383480825</v>
      </c>
      <c r="E25">
        <v>92.182890855457231</v>
      </c>
      <c r="F25">
        <v>88.77178868329311</v>
      </c>
      <c r="G25">
        <v>87.197640117994098</v>
      </c>
      <c r="H25">
        <v>64.38671614806357</v>
      </c>
      <c r="I25">
        <v>47.666502305383268</v>
      </c>
      <c r="L25" t="str">
        <f t="shared" si="0"/>
        <v xml:space="preserve">    94.188790560472, 93.3923303834808, 92.1828908554572, 88.7717886832931, 87.1976401179941, 64.3867161480636, 47.6665023053833,</v>
      </c>
    </row>
    <row r="26" spans="2:12">
      <c r="B26" t="s">
        <v>24</v>
      </c>
      <c r="C26">
        <v>92.890855457227147</v>
      </c>
      <c r="D26">
        <v>89.026548672566378</v>
      </c>
      <c r="E26">
        <v>91.474926253687315</v>
      </c>
      <c r="F26">
        <v>89.73451327433628</v>
      </c>
      <c r="G26">
        <v>85.762420090139187</v>
      </c>
      <c r="H26">
        <v>72.208842637047027</v>
      </c>
      <c r="I26">
        <v>60.267216844436369</v>
      </c>
      <c r="L26" t="str">
        <f t="shared" si="0"/>
        <v xml:space="preserve">    92.8908554572271, 89.0265486725664, 91.4749262536873, 89.7345132743363, 85.7624200901392, 72.208842637047, 60.2672168444364,</v>
      </c>
    </row>
    <row r="27" spans="2:12">
      <c r="B27" t="s">
        <v>25</v>
      </c>
      <c r="C27">
        <v>84.808259587020657</v>
      </c>
      <c r="D27">
        <v>84.041297935103245</v>
      </c>
      <c r="E27">
        <v>84.601769911504419</v>
      </c>
      <c r="F27">
        <v>83.008849557522126</v>
      </c>
      <c r="G27">
        <v>82.831858407079636</v>
      </c>
      <c r="H27">
        <v>67.037431119646357</v>
      </c>
      <c r="I27">
        <v>53.718371266187418</v>
      </c>
      <c r="L27" t="str">
        <f t="shared" si="0"/>
        <v xml:space="preserve">    84.8082595870207, 84.0412979351032, 84.6017699115044, 83.0088495575221, 82.8318584070796, 67.0374311196464, 53.7183712661874,</v>
      </c>
    </row>
    <row r="28" spans="2:12">
      <c r="B28" t="s">
        <v>26</v>
      </c>
      <c r="C28">
        <v>87.758112094395273</v>
      </c>
      <c r="D28">
        <v>85.575221238938056</v>
      </c>
      <c r="E28">
        <v>84.86725663716814</v>
      </c>
      <c r="F28">
        <v>83.067846607669622</v>
      </c>
      <c r="G28">
        <v>80.17699115044249</v>
      </c>
      <c r="H28">
        <v>60.02716286473067</v>
      </c>
      <c r="I28">
        <v>54.179793942854182</v>
      </c>
      <c r="L28" t="str">
        <f t="shared" si="0"/>
        <v xml:space="preserve">    87.7581120943953, 85.5752212389381, 84.8672566371681, 83.0678466076696, 80.1769911504425, 60.0271628647307, 54.1797939428542,</v>
      </c>
    </row>
    <row r="29" spans="2:12">
      <c r="B29" t="s">
        <v>27</v>
      </c>
      <c r="C29">
        <v>98.849557522123888</v>
      </c>
      <c r="D29">
        <v>97.728613569321539</v>
      </c>
      <c r="E29">
        <v>98.141592920353986</v>
      </c>
      <c r="F29">
        <v>96.460350003027699</v>
      </c>
      <c r="G29">
        <v>94.690265486725664</v>
      </c>
      <c r="H29">
        <v>74.039135286637432</v>
      </c>
      <c r="I29">
        <v>68.927499372831946</v>
      </c>
      <c r="L29" t="str">
        <f t="shared" si="0"/>
        <v xml:space="preserve">    98.8495575221239, 97.7286135693215, 98.141592920354, 96.4603500030277, 94.6902654867257, 74.0391352866374, 68.9274993728319,</v>
      </c>
    </row>
    <row r="30" spans="2:12">
      <c r="B30" t="s">
        <v>28</v>
      </c>
      <c r="C30">
        <v>99.233038348082601</v>
      </c>
      <c r="D30">
        <v>97.787610619469021</v>
      </c>
      <c r="E30">
        <v>98.230088495575231</v>
      </c>
      <c r="F30">
        <v>96.076696165191748</v>
      </c>
      <c r="G30">
        <v>94.572271386430685</v>
      </c>
      <c r="H30">
        <v>81.335911210304587</v>
      </c>
      <c r="I30">
        <v>59.483473040424222</v>
      </c>
      <c r="L30" t="str">
        <f t="shared" si="0"/>
        <v xml:space="preserve">    99.2330383480826, 97.787610619469, 98.2300884955752, 96.0766961651917, 94.5722713864307, 81.3359112103046, 59.4834730404242,</v>
      </c>
    </row>
    <row r="31" spans="2:12">
      <c r="B31" t="s">
        <v>29</v>
      </c>
      <c r="C31">
        <v>97.227138643067846</v>
      </c>
      <c r="D31">
        <v>97.492625368731566</v>
      </c>
      <c r="E31">
        <v>97.640117994100294</v>
      </c>
      <c r="F31">
        <v>97.492625368731566</v>
      </c>
      <c r="G31">
        <v>97.463126843657818</v>
      </c>
      <c r="H31">
        <v>91.339371447849899</v>
      </c>
      <c r="I31">
        <v>66.853952023806443</v>
      </c>
      <c r="L31" t="str">
        <f t="shared" si="0"/>
        <v xml:space="preserve">    97.2271386430678, 97.4926253687316, 97.6401179941003, 97.4926253687316, 97.4631268436578, 91.3393714478499, 66.8539520238064,</v>
      </c>
    </row>
    <row r="32" spans="2:12">
      <c r="B32" t="s">
        <v>32</v>
      </c>
      <c r="C32">
        <f>AVERAGE(C2:C31)</f>
        <v>93.496558505408075</v>
      </c>
      <c r="D32">
        <f t="shared" ref="D32:I32" si="1">AVERAGE(D2:D31)</f>
        <v>92.713881607972397</v>
      </c>
      <c r="E32">
        <f t="shared" si="1"/>
        <v>92.345144277488004</v>
      </c>
      <c r="F32">
        <f t="shared" si="1"/>
        <v>91.007644241443828</v>
      </c>
      <c r="G32">
        <f t="shared" si="1"/>
        <v>87.334247412751566</v>
      </c>
      <c r="H32">
        <f t="shared" si="1"/>
        <v>66.065300449542534</v>
      </c>
      <c r="I32">
        <f t="shared" si="1"/>
        <v>52.243949630475484</v>
      </c>
    </row>
    <row r="34" spans="1:12">
      <c r="C34" t="str">
        <f t="shared" ref="C34:D34" si="2">""&amp;_xlfn.TEXTJOIN(", ",TRUE,C2:C31)&amp;","</f>
        <v>90.6194690265487, 94.2477876106195, 88.023598820059, 91.6519174041298, 95.811209439528, 93.716814159292, 93.1858407079646, 96.4896755162242, 97.4926253687316, 96.1061946902655, 92.0648967551622, 95.7817109144543, 90.4129793510324, 93.7758112094395, 91.7699115044248, 95.7817109144543, 93.3628318584071, 96.6666666666667, 93.3628318584071, 89.2625368731563, 94.5427728613569, 92.3598820058997, 93.4513274336283, 94.188790560472, 92.8908554572271, 84.8082595870207, 87.7581120943953, 98.8495575221239, 99.2330383480826, 97.2271386430678,</v>
      </c>
      <c r="D34" t="str">
        <f t="shared" si="2"/>
        <v>87.9646017699115, 93.952802359882, 89.1740412979351, 91.976401179941, 94.9262536873156, 95.1032448377581, 93.7463126843658, 98.023598820059, 98.1120943952802, 94.8672566371681, 92.2418879056047, 94.8672566371681, 89.4100294985251, 92.9793510324484, 87.2273116549451, 93.3923303834808, 93.8351542833416, 95.0442477876106, 94.1002949852507, 86.4896755162242, 93.3923303834808, 90.4424778761062, 95.1032448377581, 93.3923303834808, 89.0265486725664, 84.0412979351032, 85.5752212389381, 97.7286135693215, 97.787610619469, 97.4926253687316,</v>
      </c>
      <c r="E34" t="str">
        <f>""&amp;_xlfn.TEXTJOIN(", ",TRUE,E2:E31)&amp;","</f>
        <v>90.23598820059, 93.7463126843658, 88.377581120944, 91.7994100294985, 94.7492625368731, 93.5398230088496, 92.8908554572271, 97.4336283185841, 97.6106194690265, 95.6637168141593, 90.3244837758112, 93.4218289085546, 86.6666666666667, 92.1828908554572, 88.5545722713864, 93.5398230088496, 92.4487236048755, 94.6017699115044, 93.1858407079646, 86.3126843657817, 93.2448377581121, 88.8790560471976, 93.8053097345133, 92.1828908554572, 91.4749262536873, 84.6017699115044, 84.8672566371681, 98.141592920354, 98.2300884955752, 97.6401179941003,</v>
      </c>
      <c r="F34" t="str">
        <f t="shared" ref="F34:I34" si="3">""&amp;_xlfn.TEXTJOIN(", ",TRUE,F2:F31)&amp;","</f>
        <v>89.4690265486726, 90.9734513274336, 87.4926253687316, 90.9734513274336, 93.9233038348083, 94.070796460177, 92.0353982300885, 94.7492625368731, 95.3097345132743, 94.2772861356932, 89.1150442477876, 93.834808259587, 86.4306784660767, 90.2949852507375, 83.6102388428966, 91.1504424778761, 91.5635948407858, 94.306784660767, 93.834808259587, 84.336456197718, 92.9205269941782, 88.4365781710914, 92.5073746312684, 88.7717886832931, 89.7345132743363, 83.0088495575221, 83.0678466076696, 96.4603500030277, 96.0766961651917, 97.4926253687316,</v>
      </c>
      <c r="G34" t="str">
        <f t="shared" si="3"/>
        <v>85.811209439528, 88.7634841131844, 85.3392330383481, 87.6106194690265, 87.0206489675516, 87.8466076696165, 87.9351032448377, 91.6817619529581, 93.9233038348083, 90.6194690265487, 87.5825050389709, 93.716814159292, 82.4238964004879, 88.9085545722714, 81.0916184396059, 85.8997050147493, 81.8696528516683, 90.2064896755162, 89.9115044247788, 75.9961591363247, 91.740412979351, 75.5933874860509, 85.8407079646018, 87.1976401179941, 85.7624200901392, 82.8318584070796, 80.1769911504425, 94.6902654867257, 94.5722713864307, 97.4631268436578,</v>
      </c>
      <c r="H34" t="str">
        <f t="shared" si="3"/>
        <v>64.5414752722774, 60.90787982595, 59.1839894808779, 60.0743086012855, 64.9986591579512, 54.6845560947759, 67.3478144274604, 65.8093928148167, 71.3211186947984, 64.0246887948858, 65.9865569771365, 68.0318168842291, 73.1684530142994, 57.8729919808995, 57.1225529632609, 72.2845353333506, 64.1433749426898, 73.2671562902793, 62.0922326317702, 61.9306395384043, 75.3684720456059, 49.8100329587626, 57.6117440462288, 64.3867161480636, 72.208842637047, 67.0374311196464, 60.0271628647307, 74.0391352866374, 81.3359112103046, 91.3393714478499,</v>
      </c>
      <c r="I34" t="str">
        <f t="shared" si="3"/>
        <v>44.6985700568344, 48.7051791105459, 46.2394138357598, 46.2876841495169, 56.5214231957024, 42.6740715750136, 61.7758804141904, 55.8817117795137, 60.9559771278298, 44.9035026254552, 47.2805993131428, 51.3962923554702, 51.1383316464675, 45.7889774132994, 40.1743959722835, 48.872135572107, 58.4127890379675, 63.9677678872655, 47.2792152181247, 47.4650299743077, 53.9719201723198, 46.5502296732671, 45.2805820119551, 47.6665023053833, 60.2672168444364, 53.7183712661874, 54.1797939428542, 68.9274993728319, 59.4834730404242, 66.8539520238064,</v>
      </c>
    </row>
    <row r="35" spans="1:12" ht="15" thickBot="1"/>
    <row r="36" spans="1:12" ht="15" thickBot="1">
      <c r="A36" s="4" t="s">
        <v>49</v>
      </c>
      <c r="B36" s="3" t="s">
        <v>30</v>
      </c>
      <c r="C36" s="1">
        <v>1</v>
      </c>
      <c r="D36" s="1">
        <v>0.75</v>
      </c>
      <c r="E36" s="1">
        <v>0.5</v>
      </c>
      <c r="F36" s="1">
        <v>0.3</v>
      </c>
      <c r="G36" s="1">
        <v>0.2</v>
      </c>
      <c r="H36" s="1">
        <v>0.1</v>
      </c>
      <c r="I36" s="2">
        <v>0.05</v>
      </c>
    </row>
    <row r="37" spans="1:12">
      <c r="B37" t="s">
        <v>33</v>
      </c>
      <c r="C37">
        <f>AVERAGE(C2:C4)</f>
        <v>90.963618485742373</v>
      </c>
      <c r="D37">
        <f t="shared" ref="D37:I37" si="4">AVERAGE(D2:D4)</f>
        <v>90.3638151425762</v>
      </c>
      <c r="E37">
        <f t="shared" si="4"/>
        <v>90.786627335299897</v>
      </c>
      <c r="F37">
        <f t="shared" si="4"/>
        <v>89.311701081612568</v>
      </c>
      <c r="G37">
        <f t="shared" si="4"/>
        <v>86.637975530353501</v>
      </c>
      <c r="H37">
        <f t="shared" si="4"/>
        <v>61.544448193035116</v>
      </c>
      <c r="I37">
        <f t="shared" si="4"/>
        <v>46.547721001046718</v>
      </c>
      <c r="L37" t="str">
        <f t="shared" ref="L37:L47" si="5">"    "&amp;_xlfn.TEXTJOIN(", ",TRUE,C37:I37)&amp;","</f>
        <v xml:space="preserve">    90.9636184857424, 90.3638151425762, 90.7866273352999, 89.3117010816126, 86.6379755303535, 61.5444481930351, 46.5477210010467,</v>
      </c>
    </row>
    <row r="38" spans="1:12">
      <c r="B38" t="s">
        <v>34</v>
      </c>
      <c r="C38">
        <f>AVERAGE(C5:C7)</f>
        <v>93.726647000983291</v>
      </c>
      <c r="D38">
        <f t="shared" ref="D38:I38" si="6">AVERAGE(D5:D7)</f>
        <v>94.001966568338261</v>
      </c>
      <c r="E38">
        <f t="shared" si="6"/>
        <v>93.362831858407091</v>
      </c>
      <c r="F38">
        <f t="shared" si="6"/>
        <v>92.989183874139613</v>
      </c>
      <c r="G38">
        <f t="shared" si="6"/>
        <v>87.492625368731566</v>
      </c>
      <c r="H38">
        <f t="shared" si="6"/>
        <v>59.919174618004185</v>
      </c>
      <c r="I38">
        <f t="shared" si="6"/>
        <v>48.49439297341096</v>
      </c>
      <c r="L38" t="str">
        <f t="shared" si="5"/>
        <v xml:space="preserve">    93.7266470009833, 94.0019665683383, 93.3628318584071, 92.9891838741396, 87.4926253687316, 59.9191746180042, 48.494392973411,</v>
      </c>
    </row>
    <row r="39" spans="1:12">
      <c r="B39" t="s">
        <v>35</v>
      </c>
      <c r="C39">
        <f>AVERAGE(C8:C10)</f>
        <v>95.722713864306797</v>
      </c>
      <c r="D39">
        <f t="shared" ref="D39:I39" si="7">AVERAGE(D8:D10)</f>
        <v>96.627335299901674</v>
      </c>
      <c r="E39">
        <f t="shared" si="7"/>
        <v>95.978367748279254</v>
      </c>
      <c r="F39">
        <f t="shared" si="7"/>
        <v>94.031465093411995</v>
      </c>
      <c r="G39">
        <f t="shared" si="7"/>
        <v>91.180056344201361</v>
      </c>
      <c r="H39">
        <f t="shared" si="7"/>
        <v>68.159441979025203</v>
      </c>
      <c r="I39">
        <f t="shared" si="7"/>
        <v>59.537856440511312</v>
      </c>
      <c r="L39" t="str">
        <f t="shared" si="5"/>
        <v xml:space="preserve">    95.7227138643068, 96.6273352999017, 95.9783677482793, 94.031465093412, 91.1800563442014, 68.1594419790252, 59.5378564405113,</v>
      </c>
    </row>
    <row r="40" spans="1:12">
      <c r="B40" t="s">
        <v>36</v>
      </c>
      <c r="C40">
        <f>AVERAGE(C11:C13)</f>
        <v>94.650934119960667</v>
      </c>
      <c r="D40">
        <f t="shared" ref="D40:I40" si="8">AVERAGE(D11:D13)</f>
        <v>93.992133726647012</v>
      </c>
      <c r="E40">
        <f t="shared" si="8"/>
        <v>93.136676499508368</v>
      </c>
      <c r="F40">
        <f t="shared" si="8"/>
        <v>92.409046214355953</v>
      </c>
      <c r="G40">
        <f t="shared" si="8"/>
        <v>90.639596074937216</v>
      </c>
      <c r="H40">
        <f t="shared" si="8"/>
        <v>66.014354218750441</v>
      </c>
      <c r="I40">
        <f t="shared" si="8"/>
        <v>47.860131431356088</v>
      </c>
      <c r="L40" t="str">
        <f t="shared" si="5"/>
        <v xml:space="preserve">    94.6509341199607, 93.992133726647, 93.1366764995084, 92.409046214356, 90.6395960749372, 66.0143542187504, 47.8601314313561,</v>
      </c>
    </row>
    <row r="41" spans="1:12">
      <c r="B41" t="s">
        <v>37</v>
      </c>
      <c r="C41">
        <f>AVERAGE(C14:C16)</f>
        <v>91.986234021632256</v>
      </c>
      <c r="D41">
        <f t="shared" ref="D41:I41" si="9">AVERAGE(D14:D16)</f>
        <v>89.872230728639508</v>
      </c>
      <c r="E41">
        <f t="shared" si="9"/>
        <v>89.134709931170107</v>
      </c>
      <c r="F41">
        <f t="shared" si="9"/>
        <v>86.77863418657023</v>
      </c>
      <c r="G41">
        <f t="shared" si="9"/>
        <v>84.141356470788381</v>
      </c>
      <c r="H41">
        <f t="shared" si="9"/>
        <v>62.721332652819946</v>
      </c>
      <c r="I41">
        <f t="shared" si="9"/>
        <v>45.700568344016823</v>
      </c>
      <c r="L41" t="str">
        <f t="shared" si="5"/>
        <v xml:space="preserve">    91.9862340216323, 89.8722307286395, 89.1347099311701, 86.7786341865702, 84.1413564707884, 62.7213326528199, 45.7005683440168,</v>
      </c>
    </row>
    <row r="42" spans="1:12">
      <c r="B42" t="s">
        <v>38</v>
      </c>
      <c r="C42">
        <f>AVERAGE(C17:C19)</f>
        <v>95.270403146509352</v>
      </c>
      <c r="D42">
        <f t="shared" ref="D42:I42" si="10">AVERAGE(D17:D19)</f>
        <v>94.090577484810993</v>
      </c>
      <c r="E42">
        <f t="shared" si="10"/>
        <v>93.530105508409818</v>
      </c>
      <c r="F42">
        <f t="shared" si="10"/>
        <v>92.340273993142958</v>
      </c>
      <c r="G42">
        <f t="shared" si="10"/>
        <v>85.991949180644568</v>
      </c>
      <c r="H42">
        <f t="shared" si="10"/>
        <v>69.898355522106598</v>
      </c>
      <c r="I42">
        <f t="shared" si="10"/>
        <v>57.08423083244665</v>
      </c>
      <c r="L42" t="str">
        <f t="shared" si="5"/>
        <v xml:space="preserve">    95.2704031465094, 94.090577484811, 93.5301055084098, 92.340273993143, 85.9919491806446, 69.8983555221066, 57.0842308324467,</v>
      </c>
    </row>
    <row r="43" spans="1:12">
      <c r="B43" t="s">
        <v>39</v>
      </c>
      <c r="C43">
        <f>AVERAGE(C20:C22)</f>
        <v>92.38938053097344</v>
      </c>
      <c r="D43">
        <f t="shared" ref="D43:I43" si="11">AVERAGE(D20:D22)</f>
        <v>91.327433628318587</v>
      </c>
      <c r="E43">
        <f t="shared" si="11"/>
        <v>90.914454277286112</v>
      </c>
      <c r="F43">
        <f t="shared" si="11"/>
        <v>90.36393048382773</v>
      </c>
      <c r="G43">
        <f t="shared" si="11"/>
        <v>85.882692180151494</v>
      </c>
      <c r="H43">
        <f t="shared" si="11"/>
        <v>66.463781405260136</v>
      </c>
      <c r="I43">
        <f t="shared" si="11"/>
        <v>49.5720551215841</v>
      </c>
      <c r="L43" t="str">
        <f t="shared" si="5"/>
        <v xml:space="preserve">    92.3893805309734, 91.3274336283186, 90.9144542772861, 90.3639304838277, 85.8826921801515, 66.4637814052601, 49.5720551215841,</v>
      </c>
    </row>
    <row r="44" spans="1:12">
      <c r="B44" t="s">
        <v>40</v>
      </c>
      <c r="C44">
        <f>AVERAGE(C23:C25)</f>
        <v>93.333333333333329</v>
      </c>
      <c r="D44">
        <f t="shared" ref="D44:I44" si="12">AVERAGE(D23:D25)</f>
        <v>92.979351032448378</v>
      </c>
      <c r="E44">
        <f t="shared" si="12"/>
        <v>91.622418879056042</v>
      </c>
      <c r="F44">
        <f t="shared" si="12"/>
        <v>89.905247161884333</v>
      </c>
      <c r="G44">
        <f t="shared" si="12"/>
        <v>82.87724518954893</v>
      </c>
      <c r="H44">
        <f t="shared" si="12"/>
        <v>57.269497717684978</v>
      </c>
      <c r="I44">
        <f t="shared" si="12"/>
        <v>46.499104663535149</v>
      </c>
      <c r="L44" t="str">
        <f t="shared" si="5"/>
        <v xml:space="preserve">    93.3333333333333, 92.9793510324484, 91.622418879056, 89.9052471618843, 82.8772451895489, 57.269497717685, 46.4991046635351,</v>
      </c>
    </row>
    <row r="45" spans="1:12">
      <c r="B45" t="s">
        <v>41</v>
      </c>
      <c r="C45">
        <f>AVERAGE(C26:C28)</f>
        <v>88.485742379547688</v>
      </c>
      <c r="D45">
        <f t="shared" ref="D45:I45" si="13">AVERAGE(D26:D28)</f>
        <v>86.214355948869226</v>
      </c>
      <c r="E45">
        <f t="shared" si="13"/>
        <v>86.98131760078661</v>
      </c>
      <c r="F45">
        <f t="shared" si="13"/>
        <v>85.270403146509338</v>
      </c>
      <c r="G45">
        <f t="shared" si="13"/>
        <v>82.923756549220442</v>
      </c>
      <c r="H45">
        <f t="shared" si="13"/>
        <v>66.424478873808013</v>
      </c>
      <c r="I45">
        <f t="shared" si="13"/>
        <v>56.055127351159321</v>
      </c>
      <c r="L45" t="str">
        <f t="shared" si="5"/>
        <v xml:space="preserve">    88.4857423795477, 86.2143559488692, 86.9813176007866, 85.2704031465093, 82.9237565492204, 66.424478873808, 56.0551273511593,</v>
      </c>
    </row>
    <row r="46" spans="1:12">
      <c r="B46" t="s">
        <v>42</v>
      </c>
      <c r="C46">
        <f>AVERAGE(C29:C31)</f>
        <v>98.436578171091455</v>
      </c>
      <c r="D46">
        <f t="shared" ref="D46:I46" si="14">AVERAGE(D29:D31)</f>
        <v>97.669616519174042</v>
      </c>
      <c r="E46">
        <f t="shared" si="14"/>
        <v>98.003933136676508</v>
      </c>
      <c r="F46">
        <f t="shared" si="14"/>
        <v>96.676557178983671</v>
      </c>
      <c r="G46">
        <f t="shared" si="14"/>
        <v>95.57522123893807</v>
      </c>
      <c r="H46">
        <f t="shared" si="14"/>
        <v>82.238139314930649</v>
      </c>
      <c r="I46">
        <f t="shared" si="14"/>
        <v>65.088308145687535</v>
      </c>
      <c r="L46" t="str">
        <f t="shared" si="5"/>
        <v xml:space="preserve">    98.4365781710915, 97.669616519174, 98.0039331366765, 96.6765571789837, 95.5752212389381, 82.2381393149306, 65.0883081456875,</v>
      </c>
    </row>
    <row r="47" spans="1:12">
      <c r="B47" t="s">
        <v>32</v>
      </c>
      <c r="C47">
        <f>AVERAGE(C37:C46)</f>
        <v>93.496558505408061</v>
      </c>
      <c r="D47">
        <f t="shared" ref="D47:I47" si="15">AVERAGE(D37:D46)</f>
        <v>92.713881607972382</v>
      </c>
      <c r="E47">
        <f t="shared" si="15"/>
        <v>92.345144277487989</v>
      </c>
      <c r="F47">
        <f t="shared" si="15"/>
        <v>91.007644241443842</v>
      </c>
      <c r="G47">
        <f t="shared" si="15"/>
        <v>87.334247412751552</v>
      </c>
      <c r="H47">
        <f t="shared" si="15"/>
        <v>66.065300449542534</v>
      </c>
      <c r="I47">
        <f t="shared" si="15"/>
        <v>52.24394963047547</v>
      </c>
      <c r="L47" t="str">
        <f t="shared" si="5"/>
        <v xml:space="preserve">    93.4965585054081, 92.7138816079724, 92.345144277488, 91.0076442414438, 87.3342474127516, 66.0653004495425, 52.2439496304755,</v>
      </c>
    </row>
    <row r="49" spans="3:9">
      <c r="C49">
        <f>_xlfn.STDEV.P(C37:C46)</f>
        <v>2.6258187204355288</v>
      </c>
      <c r="D49">
        <f t="shared" ref="D49:I49" si="16">_xlfn.STDEV.P(D37:D46)</f>
        <v>3.207758549377592</v>
      </c>
      <c r="E49">
        <f t="shared" si="16"/>
        <v>3.0391488081079605</v>
      </c>
      <c r="F49">
        <f t="shared" si="16"/>
        <v>3.228819082090463</v>
      </c>
      <c r="G49">
        <f t="shared" si="16"/>
        <v>3.8413504397579064</v>
      </c>
      <c r="H49">
        <f t="shared" si="16"/>
        <v>6.5398018533983322</v>
      </c>
      <c r="I49">
        <f t="shared" si="16"/>
        <v>6.3625009257411582</v>
      </c>
    </row>
  </sheetData>
  <phoneticPr fontId="1" type="noConversion"/>
  <conditionalFormatting sqref="C37:I4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Baseline</vt:lpstr>
      <vt:lpstr>Exp_bs</vt:lpstr>
      <vt:lpstr>Gauss_bs</vt:lpstr>
      <vt:lpstr>Inverse_bs</vt:lpstr>
      <vt:lpstr>PL_bs</vt:lpstr>
      <vt:lpstr>RQ_bs</vt:lpstr>
      <vt:lpstr>GG_bs</vt:lpstr>
      <vt:lpstr>Sig_bs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2026-05-31T14:55:56Z</dcterms:modified>
</cp:coreProperties>
</file>