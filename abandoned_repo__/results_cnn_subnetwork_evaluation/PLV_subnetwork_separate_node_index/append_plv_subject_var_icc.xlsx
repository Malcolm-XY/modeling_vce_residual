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abandoned_repo_\results_cnn_subnetwork_evaluation\PLV_subnetwork_separate_node_index\"/>
    </mc:Choice>
  </mc:AlternateContent>
  <xr:revisionPtr revIDLastSave="0" documentId="13_ncr:1_{0D9523DF-A7ED-4570-9114-0533AACF0337}" xr6:coauthVersionLast="47" xr6:coauthVersionMax="47" xr10:uidLastSave="{00000000-0000-0000-0000-000000000000}"/>
  <bookViews>
    <workbookView xWindow="28680" yWindow="-210" windowWidth="29040" windowHeight="164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18" i="1"/>
  <c r="K19" i="1"/>
  <c r="K20" i="1"/>
  <c r="M46" i="2"/>
  <c r="N46" i="2"/>
  <c r="O46" i="2"/>
  <c r="P46" i="2"/>
  <c r="Q46" i="2"/>
  <c r="L46" i="2"/>
  <c r="M30" i="2"/>
  <c r="N30" i="2"/>
  <c r="O30" i="2"/>
  <c r="P30" i="2"/>
  <c r="Q30" i="2"/>
  <c r="L30" i="2"/>
  <c r="L65" i="2"/>
  <c r="M65" i="2"/>
  <c r="N65" i="2"/>
  <c r="O65" i="2"/>
  <c r="P65" i="2"/>
  <c r="Q65" i="2"/>
  <c r="L66" i="2"/>
  <c r="M66" i="2"/>
  <c r="N66" i="2"/>
  <c r="O66" i="2"/>
  <c r="P66" i="2"/>
  <c r="Q66" i="2"/>
  <c r="L67" i="2"/>
  <c r="M67" i="2"/>
  <c r="N67" i="2"/>
  <c r="O67" i="2"/>
  <c r="P67" i="2"/>
  <c r="Q67" i="2"/>
  <c r="L68" i="2"/>
  <c r="M68" i="2"/>
  <c r="N68" i="2"/>
  <c r="O68" i="2"/>
  <c r="P68" i="2"/>
  <c r="Q68" i="2"/>
  <c r="L69" i="2"/>
  <c r="M69" i="2"/>
  <c r="N69" i="2"/>
  <c r="O69" i="2"/>
  <c r="P69" i="2"/>
  <c r="Q69" i="2"/>
  <c r="L70" i="2"/>
  <c r="M70" i="2"/>
  <c r="N70" i="2"/>
  <c r="O70" i="2"/>
  <c r="P70" i="2"/>
  <c r="Q70" i="2"/>
  <c r="L71" i="2"/>
  <c r="M71" i="2"/>
  <c r="N71" i="2"/>
  <c r="O71" i="2"/>
  <c r="P71" i="2"/>
  <c r="Q71" i="2"/>
  <c r="L72" i="2"/>
  <c r="M72" i="2"/>
  <c r="N72" i="2"/>
  <c r="O72" i="2"/>
  <c r="P72" i="2"/>
  <c r="Q72" i="2"/>
  <c r="L73" i="2"/>
  <c r="M73" i="2"/>
  <c r="N73" i="2"/>
  <c r="O73" i="2"/>
  <c r="P73" i="2"/>
  <c r="Q73" i="2"/>
  <c r="L74" i="2"/>
  <c r="M74" i="2"/>
  <c r="N74" i="2"/>
  <c r="O74" i="2"/>
  <c r="P74" i="2"/>
  <c r="Q74" i="2"/>
  <c r="M64" i="2"/>
  <c r="N64" i="2"/>
  <c r="O64" i="2"/>
  <c r="P64" i="2"/>
  <c r="Q64" i="2"/>
  <c r="L64" i="2"/>
  <c r="M49" i="2"/>
  <c r="N49" i="2"/>
  <c r="O49" i="2"/>
  <c r="P49" i="2"/>
  <c r="Q49" i="2"/>
  <c r="M50" i="2"/>
  <c r="N50" i="2"/>
  <c r="O50" i="2"/>
  <c r="P50" i="2"/>
  <c r="Q50" i="2"/>
  <c r="M51" i="2"/>
  <c r="N51" i="2"/>
  <c r="O51" i="2"/>
  <c r="P51" i="2"/>
  <c r="Q51" i="2"/>
  <c r="M52" i="2"/>
  <c r="N52" i="2"/>
  <c r="O52" i="2"/>
  <c r="P52" i="2"/>
  <c r="Q52" i="2"/>
  <c r="M53" i="2"/>
  <c r="N53" i="2"/>
  <c r="O53" i="2"/>
  <c r="P53" i="2"/>
  <c r="Q53" i="2"/>
  <c r="M54" i="2"/>
  <c r="N54" i="2"/>
  <c r="O54" i="2"/>
  <c r="P54" i="2"/>
  <c r="Q54" i="2"/>
  <c r="M55" i="2"/>
  <c r="N55" i="2"/>
  <c r="O55" i="2"/>
  <c r="P55" i="2"/>
  <c r="Q55" i="2"/>
  <c r="M56" i="2"/>
  <c r="N56" i="2"/>
  <c r="O56" i="2"/>
  <c r="P56" i="2"/>
  <c r="Q56" i="2"/>
  <c r="M57" i="2"/>
  <c r="N57" i="2"/>
  <c r="O57" i="2"/>
  <c r="P57" i="2"/>
  <c r="Q57" i="2"/>
  <c r="M58" i="2"/>
  <c r="N58" i="2"/>
  <c r="O58" i="2"/>
  <c r="P58" i="2"/>
  <c r="Q58" i="2"/>
  <c r="M59" i="2"/>
  <c r="N59" i="2"/>
  <c r="O59" i="2"/>
  <c r="P59" i="2"/>
  <c r="Q59" i="2"/>
  <c r="L50" i="2"/>
  <c r="L51" i="2"/>
  <c r="L52" i="2"/>
  <c r="L53" i="2"/>
  <c r="L54" i="2"/>
  <c r="L55" i="2"/>
  <c r="L56" i="2"/>
  <c r="L57" i="2"/>
  <c r="L58" i="2"/>
  <c r="L59" i="2"/>
  <c r="L49" i="2"/>
  <c r="L34" i="2"/>
  <c r="M34" i="2"/>
  <c r="N34" i="2"/>
  <c r="O34" i="2"/>
  <c r="P34" i="2"/>
  <c r="Q34" i="2"/>
  <c r="L35" i="2"/>
  <c r="M35" i="2"/>
  <c r="N35" i="2"/>
  <c r="O35" i="2"/>
  <c r="P35" i="2"/>
  <c r="Q35" i="2"/>
  <c r="L36" i="2"/>
  <c r="M36" i="2"/>
  <c r="N36" i="2"/>
  <c r="O36" i="2"/>
  <c r="P36" i="2"/>
  <c r="Q36" i="2"/>
  <c r="L37" i="2"/>
  <c r="M37" i="2"/>
  <c r="N37" i="2"/>
  <c r="O37" i="2"/>
  <c r="P37" i="2"/>
  <c r="Q37" i="2"/>
  <c r="L38" i="2"/>
  <c r="M38" i="2"/>
  <c r="N38" i="2"/>
  <c r="O38" i="2"/>
  <c r="P38" i="2"/>
  <c r="Q38" i="2"/>
  <c r="L39" i="2"/>
  <c r="M39" i="2"/>
  <c r="N39" i="2"/>
  <c r="O39" i="2"/>
  <c r="P39" i="2"/>
  <c r="Q39" i="2"/>
  <c r="L40" i="2"/>
  <c r="M40" i="2"/>
  <c r="N40" i="2"/>
  <c r="O40" i="2"/>
  <c r="P40" i="2"/>
  <c r="Q40" i="2"/>
  <c r="L41" i="2"/>
  <c r="M41" i="2"/>
  <c r="N41" i="2"/>
  <c r="O41" i="2"/>
  <c r="P41" i="2"/>
  <c r="Q41" i="2"/>
  <c r="L42" i="2"/>
  <c r="M42" i="2"/>
  <c r="N42" i="2"/>
  <c r="O42" i="2"/>
  <c r="P42" i="2"/>
  <c r="Q42" i="2"/>
  <c r="L43" i="2"/>
  <c r="M43" i="2"/>
  <c r="N43" i="2"/>
  <c r="O43" i="2"/>
  <c r="P43" i="2"/>
  <c r="Q43" i="2"/>
  <c r="M33" i="2"/>
  <c r="N33" i="2"/>
  <c r="O33" i="2"/>
  <c r="P33" i="2"/>
  <c r="Q33" i="2"/>
  <c r="L33" i="2"/>
  <c r="L18" i="2"/>
  <c r="M18" i="2"/>
  <c r="N18" i="2"/>
  <c r="O18" i="2"/>
  <c r="P18" i="2"/>
  <c r="Q18" i="2"/>
  <c r="L19" i="2"/>
  <c r="M19" i="2"/>
  <c r="N19" i="2"/>
  <c r="O19" i="2"/>
  <c r="P19" i="2"/>
  <c r="Q19" i="2"/>
  <c r="L20" i="2"/>
  <c r="M20" i="2"/>
  <c r="N20" i="2"/>
  <c r="O20" i="2"/>
  <c r="P20" i="2"/>
  <c r="Q20" i="2"/>
  <c r="L21" i="2"/>
  <c r="M21" i="2"/>
  <c r="N21" i="2"/>
  <c r="O21" i="2"/>
  <c r="P21" i="2"/>
  <c r="Q21" i="2"/>
  <c r="L22" i="2"/>
  <c r="M22" i="2"/>
  <c r="N22" i="2"/>
  <c r="O22" i="2"/>
  <c r="P22" i="2"/>
  <c r="Q22" i="2"/>
  <c r="L23" i="2"/>
  <c r="M23" i="2"/>
  <c r="N23" i="2"/>
  <c r="O23" i="2"/>
  <c r="P23" i="2"/>
  <c r="Q23" i="2"/>
  <c r="L24" i="2"/>
  <c r="M24" i="2"/>
  <c r="N24" i="2"/>
  <c r="O24" i="2"/>
  <c r="P24" i="2"/>
  <c r="Q24" i="2"/>
  <c r="L25" i="2"/>
  <c r="M25" i="2"/>
  <c r="N25" i="2"/>
  <c r="O25" i="2"/>
  <c r="P25" i="2"/>
  <c r="Q25" i="2"/>
  <c r="L26" i="2"/>
  <c r="M26" i="2"/>
  <c r="N26" i="2"/>
  <c r="O26" i="2"/>
  <c r="P26" i="2"/>
  <c r="Q26" i="2"/>
  <c r="M17" i="2"/>
  <c r="N17" i="2"/>
  <c r="O17" i="2"/>
  <c r="P17" i="2"/>
  <c r="Q17" i="2"/>
  <c r="L17" i="2"/>
  <c r="H76" i="2"/>
  <c r="G76" i="2"/>
  <c r="F76" i="2"/>
  <c r="E76" i="2"/>
  <c r="D76" i="2"/>
  <c r="C76" i="2"/>
  <c r="H61" i="2"/>
  <c r="G61" i="2"/>
  <c r="F61" i="2"/>
  <c r="E61" i="2"/>
  <c r="D61" i="2"/>
  <c r="C61" i="2"/>
  <c r="H45" i="2"/>
  <c r="G45" i="2"/>
  <c r="F45" i="2"/>
  <c r="E45" i="2"/>
  <c r="D45" i="2"/>
  <c r="C45" i="2"/>
  <c r="H29" i="2"/>
  <c r="G29" i="2"/>
  <c r="F29" i="2"/>
  <c r="E29" i="2"/>
  <c r="D29" i="2"/>
  <c r="C29" i="2"/>
  <c r="H14" i="2"/>
  <c r="G14" i="2"/>
  <c r="F14" i="2"/>
  <c r="E14" i="2"/>
  <c r="D14" i="2"/>
  <c r="C14" i="2"/>
  <c r="D78" i="1"/>
  <c r="H78" i="1"/>
  <c r="G78" i="1"/>
  <c r="C78" i="1"/>
  <c r="F78" i="1"/>
  <c r="E78" i="1"/>
  <c r="F62" i="1"/>
  <c r="E62" i="1"/>
  <c r="D62" i="1"/>
  <c r="C62" i="1"/>
  <c r="H62" i="1"/>
  <c r="K34" i="1"/>
  <c r="K35" i="1"/>
  <c r="K36" i="1"/>
  <c r="K37" i="1"/>
  <c r="K38" i="1"/>
  <c r="K39" i="1"/>
  <c r="K40" i="1"/>
  <c r="C46" i="1"/>
  <c r="F46" i="1"/>
  <c r="E46" i="1"/>
  <c r="D46" i="1"/>
  <c r="K43" i="1"/>
  <c r="K42" i="1"/>
  <c r="K41" i="1"/>
  <c r="K27" i="1"/>
  <c r="K26" i="1"/>
  <c r="K25" i="1"/>
  <c r="K24" i="1"/>
  <c r="K23" i="1"/>
  <c r="K22" i="1"/>
  <c r="K21" i="1"/>
  <c r="H30" i="1"/>
  <c r="G30" i="1"/>
  <c r="F30" i="1"/>
  <c r="E30" i="1"/>
  <c r="D30" i="1"/>
  <c r="C30" i="1"/>
  <c r="K9" i="1"/>
  <c r="K10" i="1"/>
  <c r="K11" i="1"/>
  <c r="K12" i="1"/>
  <c r="F14" i="1"/>
  <c r="E14" i="1"/>
  <c r="D14" i="1"/>
  <c r="H14" i="1"/>
  <c r="G14" i="1"/>
  <c r="C14" i="1"/>
  <c r="O27" i="2" l="1"/>
  <c r="P27" i="2"/>
  <c r="M27" i="2"/>
  <c r="Q27" i="2"/>
  <c r="L27" i="2"/>
  <c r="N27" i="2"/>
  <c r="L61" i="2"/>
  <c r="Q61" i="2"/>
  <c r="N29" i="2"/>
  <c r="M29" i="2"/>
  <c r="O61" i="2"/>
  <c r="Q45" i="2"/>
  <c r="Q29" i="2"/>
  <c r="L45" i="2"/>
  <c r="L29" i="2"/>
  <c r="M61" i="2"/>
  <c r="P76" i="2"/>
  <c r="P29" i="2"/>
  <c r="O29" i="2"/>
  <c r="M45" i="2"/>
  <c r="N76" i="2"/>
  <c r="O76" i="2"/>
  <c r="N45" i="2"/>
  <c r="M76" i="2"/>
  <c r="P45" i="2"/>
  <c r="O45" i="2"/>
  <c r="L76" i="2"/>
  <c r="Q76" i="2"/>
  <c r="P61" i="2"/>
  <c r="N61" i="2"/>
  <c r="G62" i="1"/>
  <c r="K44" i="1"/>
  <c r="G46" i="1"/>
  <c r="H46" i="1"/>
  <c r="K28" i="1"/>
</calcChain>
</file>

<file path=xl/sharedStrings.xml><?xml version="1.0" encoding="utf-8"?>
<sst xmlns="http://schemas.openxmlformats.org/spreadsheetml/2006/main" count="199" uniqueCount="22">
  <si>
    <t>Baseline</t>
    <phoneticPr fontId="2" type="noConversion"/>
  </si>
  <si>
    <t>Identifier</t>
  </si>
  <si>
    <t>sub6</t>
    <phoneticPr fontId="2" type="noConversion"/>
  </si>
  <si>
    <t>sub7</t>
  </si>
  <si>
    <t>sub8</t>
  </si>
  <si>
    <t>sub9</t>
  </si>
  <si>
    <t>sub10</t>
  </si>
  <si>
    <t>sub11</t>
  </si>
  <si>
    <t>sub12</t>
  </si>
  <si>
    <t>sub13</t>
  </si>
  <si>
    <t>sub14</t>
  </si>
  <si>
    <t>sub15</t>
  </si>
  <si>
    <t>Avg</t>
    <phoneticPr fontId="2" type="noConversion"/>
  </si>
  <si>
    <t>std</t>
    <phoneticPr fontId="2" type="noConversion"/>
  </si>
  <si>
    <t>avg</t>
    <phoneticPr fontId="2" type="noConversion"/>
  </si>
  <si>
    <t>Exponential</t>
    <phoneticPr fontId="2" type="noConversion"/>
  </si>
  <si>
    <t>Rational Quadratic</t>
    <phoneticPr fontId="2" type="noConversion"/>
  </si>
  <si>
    <t>Generalized Gaussian</t>
    <phoneticPr fontId="2" type="noConversion"/>
  </si>
  <si>
    <t>Sigmoid</t>
    <phoneticPr fontId="2" type="noConversion"/>
  </si>
  <si>
    <t>p</t>
    <phoneticPr fontId="2" type="noConversion"/>
  </si>
  <si>
    <t>icc</t>
  </si>
  <si>
    <t>icc(1,1)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</si>
</sst>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3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"/>
  <sheetViews>
    <sheetView tabSelected="1" workbookViewId="0"/>
  </sheetViews>
  <sheetFormatPr defaultRowHeight="14.25"/>
  <sheetData>
    <row r="1" spans="1:11" ht="15" thickBot="1">
      <c r="A1" s="1" t="s">
        <v>0</v>
      </c>
      <c r="B1" s="2" t="s">
        <v>1</v>
      </c>
      <c r="C1" s="3">
        <v>1</v>
      </c>
      <c r="D1" s="3">
        <v>0.75</v>
      </c>
      <c r="E1" s="3">
        <v>0.5</v>
      </c>
      <c r="F1" s="3">
        <v>0.3</v>
      </c>
      <c r="G1" s="3">
        <v>0.2</v>
      </c>
      <c r="H1" s="3">
        <v>0.1</v>
      </c>
    </row>
    <row r="2" spans="1:11">
      <c r="B2" t="s">
        <v>2</v>
      </c>
      <c r="C2">
        <v>91.052114060963618</v>
      </c>
      <c r="D2">
        <v>90.589970501474923</v>
      </c>
      <c r="E2">
        <v>89.213372664700103</v>
      </c>
      <c r="F2">
        <v>86.125975714899496</v>
      </c>
      <c r="G2">
        <v>78.381243205679411</v>
      </c>
      <c r="H2">
        <v>59.109652044279507</v>
      </c>
      <c r="K2" t="str">
        <f t="shared" ref="K2:K12" si="0">"    "&amp;_xlfn.TEXTJOIN(", ",TRUE,C2:H2)&amp;","</f>
        <v xml:space="preserve">    91.0521140609636, 90.5899705014749, 89.2133726647001, 86.1259757148995, 78.3812432056794, 59.1096520442795,</v>
      </c>
    </row>
    <row r="3" spans="1:11">
      <c r="B3" t="s">
        <v>3</v>
      </c>
      <c r="C3">
        <v>93.588987217305814</v>
      </c>
      <c r="D3">
        <v>92.664700098328424</v>
      </c>
      <c r="E3">
        <v>91.484759095378578</v>
      </c>
      <c r="F3">
        <v>87.050262833876857</v>
      </c>
      <c r="G3">
        <v>77.323996459023576</v>
      </c>
      <c r="H3">
        <v>51.20410499514125</v>
      </c>
      <c r="K3" t="str">
        <f t="shared" si="0"/>
        <v xml:space="preserve">    93.5889872173058, 92.6647000983284, 91.4847590953786, 87.0502628338769, 77.3239964590236, 51.2041049951413,</v>
      </c>
    </row>
    <row r="4" spans="1:11">
      <c r="B4" t="s">
        <v>4</v>
      </c>
      <c r="C4">
        <v>95.732546705998018</v>
      </c>
      <c r="D4">
        <v>95.575221238938056</v>
      </c>
      <c r="E4">
        <v>94.788593903638159</v>
      </c>
      <c r="F4">
        <v>90.90462143559489</v>
      </c>
      <c r="G4">
        <v>84.645311233949528</v>
      </c>
      <c r="H4">
        <v>66.332667237605861</v>
      </c>
      <c r="K4" t="str">
        <f t="shared" si="0"/>
        <v xml:space="preserve">    95.732546705998, 95.5752212389381, 94.7885939036382, 90.9046214355949, 84.6453112339495, 66.3326672376059,</v>
      </c>
    </row>
    <row r="5" spans="1:11">
      <c r="B5" t="s">
        <v>5</v>
      </c>
      <c r="C5">
        <v>95.073746312684364</v>
      </c>
      <c r="D5">
        <v>94.247787610619483</v>
      </c>
      <c r="E5">
        <v>93.706981317600778</v>
      </c>
      <c r="F5">
        <v>90.108218929229494</v>
      </c>
      <c r="G5">
        <v>80.254529306770237</v>
      </c>
      <c r="H5">
        <v>58.133115338367979</v>
      </c>
      <c r="K5" t="str">
        <f t="shared" si="0"/>
        <v xml:space="preserve">    95.0737463126844, 94.2477876106195, 93.7069813176008, 90.1082189292295, 80.2545293067702, 58.133115338368,</v>
      </c>
    </row>
    <row r="6" spans="1:11">
      <c r="B6" t="s">
        <v>6</v>
      </c>
      <c r="C6">
        <v>91.701081612586037</v>
      </c>
      <c r="D6">
        <v>87.787610619469021</v>
      </c>
      <c r="E6">
        <v>86.686447691300671</v>
      </c>
      <c r="F6">
        <v>83.369752333497686</v>
      </c>
      <c r="G6">
        <v>74.444098420689912</v>
      </c>
      <c r="H6">
        <v>56.666868513856819</v>
      </c>
      <c r="K6" t="str">
        <f t="shared" si="0"/>
        <v xml:space="preserve">    91.701081612586, 87.787610619469, 86.6864476913007, 83.3697523334977, 74.4440984206899, 56.6668685138568,</v>
      </c>
    </row>
    <row r="7" spans="1:11">
      <c r="B7" t="s">
        <v>7</v>
      </c>
      <c r="C7">
        <v>94.896755162241888</v>
      </c>
      <c r="D7">
        <v>93.294405660948613</v>
      </c>
      <c r="E7">
        <v>92.183294549837512</v>
      </c>
      <c r="F7">
        <v>87.347900933399089</v>
      </c>
      <c r="G7">
        <v>75.81011369763867</v>
      </c>
      <c r="H7">
        <v>65.038278877844959</v>
      </c>
      <c r="K7" t="str">
        <f t="shared" si="0"/>
        <v xml:space="preserve">    94.8967551622419, 93.2944056609486, 92.1832945498375, 87.3479009333991, 75.8101136976387, 65.038278877845,</v>
      </c>
    </row>
    <row r="8" spans="1:11">
      <c r="B8" t="s">
        <v>8</v>
      </c>
      <c r="C8">
        <v>91.82896622519803</v>
      </c>
      <c r="D8">
        <v>89.144600443487107</v>
      </c>
      <c r="E8">
        <v>88.73162109245466</v>
      </c>
      <c r="F8">
        <v>85.311176278918211</v>
      </c>
      <c r="G8">
        <v>78.846789332087653</v>
      </c>
      <c r="H8">
        <v>61.274001793556465</v>
      </c>
      <c r="K8" t="str">
        <f t="shared" si="0"/>
        <v xml:space="preserve">    91.828966225198, 89.1446004434871, 88.7316210924547, 85.3111762789182, 78.8467893320877, 61.2740017935565,</v>
      </c>
    </row>
    <row r="9" spans="1:11">
      <c r="B9" t="s">
        <v>9</v>
      </c>
      <c r="C9">
        <v>92.67453294001966</v>
      </c>
      <c r="D9">
        <v>91.760078662733534</v>
      </c>
      <c r="E9">
        <v>90.147492625368727</v>
      </c>
      <c r="F9">
        <v>81.329106076465493</v>
      </c>
      <c r="G9">
        <v>69.556657064507476</v>
      </c>
      <c r="H9">
        <v>49.463490168600082</v>
      </c>
      <c r="K9" t="str">
        <f t="shared" si="0"/>
        <v xml:space="preserve">    92.6745329400197, 91.7600786627335, 90.1474926253687, 81.3291060764655, 69.5566570645075, 49.4634901686001,</v>
      </c>
    </row>
    <row r="10" spans="1:11">
      <c r="B10" t="s">
        <v>10</v>
      </c>
      <c r="C10">
        <v>87.777777777777786</v>
      </c>
      <c r="D10">
        <v>84.985308408088883</v>
      </c>
      <c r="E10">
        <v>83.097575815246387</v>
      </c>
      <c r="F10">
        <v>81.104450153836396</v>
      </c>
      <c r="G10">
        <v>73.598733553058409</v>
      </c>
      <c r="H10">
        <v>61.236487051502742</v>
      </c>
      <c r="K10" t="str">
        <f t="shared" si="0"/>
        <v xml:space="preserve">    87.7777777777778, 84.9853084080889, 83.0975758152464, 81.1044501538364, 73.5987335530584, 61.2364870515027,</v>
      </c>
    </row>
    <row r="11" spans="1:11">
      <c r="B11" t="s">
        <v>11</v>
      </c>
      <c r="C11">
        <v>98.407079646017692</v>
      </c>
      <c r="D11">
        <v>96.106194690265468</v>
      </c>
      <c r="E11">
        <v>96.165191740412979</v>
      </c>
      <c r="F11">
        <v>93.323673503519345</v>
      </c>
      <c r="G11">
        <v>89.38203040972094</v>
      </c>
      <c r="H11">
        <v>80.091263765257494</v>
      </c>
      <c r="K11" t="str">
        <f t="shared" si="0"/>
        <v xml:space="preserve">    98.4070796460177, 96.1061946902655, 96.165191740413, 93.3236735035193, 89.3820304097209, 80.0912637652575,</v>
      </c>
    </row>
    <row r="12" spans="1:11">
      <c r="B12" t="s">
        <v>14</v>
      </c>
      <c r="C12">
        <v>93.273358766079298</v>
      </c>
      <c r="D12">
        <v>91.615587793435367</v>
      </c>
      <c r="E12">
        <v>90.62053304959386</v>
      </c>
      <c r="F12">
        <v>86.597513819323694</v>
      </c>
      <c r="G12">
        <v>78.224350268312577</v>
      </c>
      <c r="H12">
        <v>60.85499297860131</v>
      </c>
      <c r="K12" t="str">
        <f t="shared" si="0"/>
        <v xml:space="preserve">    93.2733587660793, 91.6155877934354, 90.6205330495939, 86.5975138193237, 78.2243502683126, 60.8549929786013,</v>
      </c>
    </row>
    <row r="14" spans="1:11">
      <c r="B14" t="s">
        <v>13</v>
      </c>
      <c r="C14">
        <f>_xlfn.STDEV.P(C2:C11)</f>
        <v>2.8005603718134133</v>
      </c>
      <c r="D14">
        <f t="shared" ref="D14:H14" si="1">_xlfn.STDEV.P(D2:D11)</f>
        <v>3.3538686640860944</v>
      </c>
      <c r="E14">
        <f t="shared" si="1"/>
        <v>3.7239094173513214</v>
      </c>
      <c r="F14">
        <f t="shared" si="1"/>
        <v>3.835503072799908</v>
      </c>
      <c r="G14">
        <f t="shared" si="1"/>
        <v>5.3638694360934682</v>
      </c>
      <c r="H14">
        <f t="shared" si="1"/>
        <v>8.1777821604148073</v>
      </c>
    </row>
    <row r="15" spans="1:11">
      <c r="B15" t="s">
        <v>21</v>
      </c>
      <c r="C15">
        <v>0.51385499908236998</v>
      </c>
      <c r="D15">
        <v>0.53495001606579595</v>
      </c>
      <c r="E15">
        <v>0.58590246928861101</v>
      </c>
      <c r="F15">
        <v>0.47189084637742301</v>
      </c>
      <c r="G15">
        <v>0.48797322959052097</v>
      </c>
      <c r="H15">
        <v>0.68543523493307201</v>
      </c>
    </row>
    <row r="16" spans="1:11" ht="15" thickBot="1"/>
    <row r="17" spans="1:11" ht="15" thickBot="1">
      <c r="A17" s="1" t="s">
        <v>15</v>
      </c>
      <c r="B17" s="2" t="s">
        <v>1</v>
      </c>
      <c r="C17" s="3">
        <v>1</v>
      </c>
      <c r="D17" s="3">
        <v>0.75</v>
      </c>
      <c r="E17" s="3">
        <v>0.5</v>
      </c>
      <c r="F17" s="3">
        <v>0.3</v>
      </c>
      <c r="G17" s="3">
        <v>0.2</v>
      </c>
      <c r="H17" s="3">
        <v>0.1</v>
      </c>
    </row>
    <row r="18" spans="1:11">
      <c r="B18" t="s">
        <v>2</v>
      </c>
      <c r="C18">
        <v>90.452310717797445</v>
      </c>
      <c r="D18">
        <v>91.396263520157319</v>
      </c>
      <c r="E18">
        <v>90.619469026548686</v>
      </c>
      <c r="F18">
        <v>89.09537856440511</v>
      </c>
      <c r="G18">
        <v>84.429450081748115</v>
      </c>
      <c r="H18">
        <v>62.590333826417179</v>
      </c>
      <c r="K18" t="str">
        <f t="shared" ref="K18:K28" si="2">"    "&amp;_xlfn.TEXTJOIN(", ",TRUE,C18:H18)&amp;","</f>
        <v xml:space="preserve">    90.4523107177974, 91.3962635201573, 90.6194690265487, 89.0953785644051, 84.4294500817481, 62.5903338264172,</v>
      </c>
    </row>
    <row r="19" spans="1:11">
      <c r="B19" t="s">
        <v>3</v>
      </c>
      <c r="C19">
        <v>94.218289085545734</v>
      </c>
      <c r="D19">
        <v>93.598935400248578</v>
      </c>
      <c r="E19">
        <v>92.074729596853487</v>
      </c>
      <c r="F19">
        <v>91.907571288102261</v>
      </c>
      <c r="G19">
        <v>83.765978367748289</v>
      </c>
      <c r="H19">
        <v>57.531985570809432</v>
      </c>
      <c r="K19" t="str">
        <f t="shared" si="2"/>
        <v xml:space="preserve">    94.2182890855457, 93.5989354002486, 92.0747295968535, 91.9075712881023, 83.7659783677483, 57.5319855708094,</v>
      </c>
    </row>
    <row r="20" spans="1:11">
      <c r="B20" t="s">
        <v>4</v>
      </c>
      <c r="C20">
        <v>96.214355948869226</v>
      </c>
      <c r="D20">
        <v>96.342182890855455</v>
      </c>
      <c r="E20">
        <v>96.15535889872173</v>
      </c>
      <c r="F20">
        <v>93.765978367748289</v>
      </c>
      <c r="G20">
        <v>90.718431820344463</v>
      </c>
      <c r="H20">
        <v>68.081009927998224</v>
      </c>
      <c r="K20" t="str">
        <f t="shared" si="2"/>
        <v xml:space="preserve">    96.2143559488692, 96.3421828908555, 96.1553588987217, 93.7659783677483, 90.7184318203445, 68.0810099279982,</v>
      </c>
    </row>
    <row r="21" spans="1:11">
      <c r="B21" t="s">
        <v>5</v>
      </c>
      <c r="C21">
        <v>94.011799410029496</v>
      </c>
      <c r="D21">
        <v>94.208456243854471</v>
      </c>
      <c r="E21">
        <v>93.470993117010821</v>
      </c>
      <c r="F21">
        <v>91.819075712881002</v>
      </c>
      <c r="G21">
        <v>88.987332647052881</v>
      </c>
      <c r="H21">
        <v>62.637277715781842</v>
      </c>
      <c r="K21" t="str">
        <f t="shared" si="2"/>
        <v xml:space="preserve">    94.0117994100295, 94.2084562438545, 93.4709931170108, 91.819075712881, 88.9873326470529, 62.6372777157818,</v>
      </c>
    </row>
    <row r="22" spans="1:11">
      <c r="B22" t="s">
        <v>6</v>
      </c>
      <c r="C22">
        <v>92.350049164208443</v>
      </c>
      <c r="D22">
        <v>89.636184857423814</v>
      </c>
      <c r="E22">
        <v>88.525073746312685</v>
      </c>
      <c r="F22">
        <v>87.984267453294009</v>
      </c>
      <c r="G22">
        <v>82.252499300743651</v>
      </c>
      <c r="H22">
        <v>62.052814759066543</v>
      </c>
      <c r="K22" t="str">
        <f t="shared" si="2"/>
        <v xml:space="preserve">    92.3500491642084, 89.6361848574238, 88.5250737463127, 87.984267453294, 82.2524993007437, 62.0528147590665,</v>
      </c>
    </row>
    <row r="23" spans="1:11">
      <c r="B23" t="s">
        <v>7</v>
      </c>
      <c r="C23">
        <v>95.339233038348084</v>
      </c>
      <c r="D23">
        <v>94.995314261657384</v>
      </c>
      <c r="E23">
        <v>93.795534563447788</v>
      </c>
      <c r="F23">
        <v>92.28133461362124</v>
      </c>
      <c r="G23">
        <v>86.768859015504745</v>
      </c>
      <c r="H23">
        <v>67.758948318468725</v>
      </c>
      <c r="K23" t="str">
        <f t="shared" si="2"/>
        <v xml:space="preserve">    95.3392330383481, 94.9953142616574, 93.7955345634478, 92.2813346136212, 86.7688590155047, 67.7589483184687,</v>
      </c>
    </row>
    <row r="24" spans="1:11">
      <c r="B24" t="s">
        <v>8</v>
      </c>
      <c r="C24">
        <v>91.347099311701072</v>
      </c>
      <c r="D24">
        <v>90.63913470993117</v>
      </c>
      <c r="E24">
        <v>90.589970501474923</v>
      </c>
      <c r="F24">
        <v>90.304818092428718</v>
      </c>
      <c r="G24">
        <v>82.574041874641367</v>
      </c>
      <c r="H24">
        <v>65.399239324446299</v>
      </c>
      <c r="K24" t="str">
        <f t="shared" si="2"/>
        <v xml:space="preserve">    91.3470993117011, 90.6391347099312, 90.5899705014749, 90.3048180924287, 82.5740418746414, 65.3992393244463,</v>
      </c>
    </row>
    <row r="25" spans="1:11">
      <c r="B25" t="s">
        <v>9</v>
      </c>
      <c r="C25">
        <v>92.822083236014166</v>
      </c>
      <c r="D25">
        <v>93.225172074729599</v>
      </c>
      <c r="E25">
        <v>91.710914454277273</v>
      </c>
      <c r="F25">
        <v>89.773844641101277</v>
      </c>
      <c r="G25">
        <v>79.227847991764634</v>
      </c>
      <c r="H25">
        <v>57.776509024011169</v>
      </c>
      <c r="K25" t="str">
        <f t="shared" si="2"/>
        <v xml:space="preserve">    92.8220832360142, 93.2251720747296, 91.7109144542773, 89.7738446411013, 79.2278479917646, 57.7765090240112,</v>
      </c>
    </row>
    <row r="26" spans="1:11">
      <c r="B26" t="s">
        <v>10</v>
      </c>
      <c r="C26">
        <v>87.826941986234019</v>
      </c>
      <c r="D26">
        <v>85.703048180924284</v>
      </c>
      <c r="E26">
        <v>86.037364798426736</v>
      </c>
      <c r="F26">
        <v>84.542772861356923</v>
      </c>
      <c r="G26">
        <v>81.435652557548067</v>
      </c>
      <c r="H26">
        <v>66.788294016384228</v>
      </c>
      <c r="K26" t="str">
        <f t="shared" si="2"/>
        <v xml:space="preserve">    87.826941986234, 85.7030481809243, 86.0373647984267, 84.5427728613569, 81.4356525575481, 66.7882940163842,</v>
      </c>
    </row>
    <row r="27" spans="1:11">
      <c r="B27" t="s">
        <v>11</v>
      </c>
      <c r="C27">
        <v>98.593903638151417</v>
      </c>
      <c r="D27">
        <v>98.456243854473939</v>
      </c>
      <c r="E27">
        <v>98.436578171091426</v>
      </c>
      <c r="F27">
        <v>96.75516224188793</v>
      </c>
      <c r="G27">
        <v>95.152409046214359</v>
      </c>
      <c r="H27">
        <v>81.345772887308712</v>
      </c>
      <c r="K27" t="str">
        <f t="shared" si="2"/>
        <v xml:space="preserve">    98.5939036381514, 98.4562438544739, 98.4365781710914, 96.7551622418879, 95.1524090462144, 81.3457728873087,</v>
      </c>
    </row>
    <row r="28" spans="1:11">
      <c r="B28" t="s">
        <v>12</v>
      </c>
      <c r="C28">
        <v>93.317606553689899</v>
      </c>
      <c r="D28">
        <v>92.820093599425604</v>
      </c>
      <c r="E28">
        <v>92.141598687416561</v>
      </c>
      <c r="F28">
        <v>90.823020383682675</v>
      </c>
      <c r="G28">
        <v>85.531250270331071</v>
      </c>
      <c r="H28">
        <v>65.196218537069242</v>
      </c>
      <c r="K28" t="str">
        <f t="shared" si="2"/>
        <v xml:space="preserve">    93.3176065536899, 92.8200935994256, 92.1415986874166, 90.8230203836827, 85.5312502703311, 65.1962185370692,</v>
      </c>
    </row>
    <row r="30" spans="1:11">
      <c r="B30" t="s">
        <v>13</v>
      </c>
      <c r="C30">
        <f>_xlfn.STDEV.P(C18:C27)</f>
        <v>2.9160332892639023</v>
      </c>
      <c r="D30">
        <f t="shared" ref="D30:H30" si="3">_xlfn.STDEV.P(D18:D27)</f>
        <v>3.4521675176140505</v>
      </c>
      <c r="E30">
        <f t="shared" si="3"/>
        <v>3.3984576546158616</v>
      </c>
      <c r="F30">
        <f t="shared" si="3"/>
        <v>3.1622846606347323</v>
      </c>
      <c r="G30">
        <f t="shared" si="3"/>
        <v>4.6182460772081049</v>
      </c>
      <c r="H30">
        <f t="shared" si="3"/>
        <v>6.4442686906104605</v>
      </c>
    </row>
    <row r="31" spans="1:11">
      <c r="B31" t="s">
        <v>20</v>
      </c>
      <c r="C31">
        <v>0.50844850099723504</v>
      </c>
      <c r="D31">
        <v>0.610007117381417</v>
      </c>
      <c r="E31">
        <v>0.56273932660484505</v>
      </c>
      <c r="F31">
        <v>0.56185889985683701</v>
      </c>
      <c r="G31">
        <v>0.50353707554309601</v>
      </c>
      <c r="H31">
        <v>0.547579992876984</v>
      </c>
    </row>
    <row r="32" spans="1:11" ht="15" thickBot="1"/>
    <row r="33" spans="1:11" ht="15" thickBot="1">
      <c r="A33" s="1" t="s">
        <v>16</v>
      </c>
      <c r="B33" s="2" t="s">
        <v>1</v>
      </c>
      <c r="C33" s="3">
        <v>1</v>
      </c>
      <c r="D33" s="3">
        <v>0.75</v>
      </c>
      <c r="E33" s="3">
        <v>0.5</v>
      </c>
      <c r="F33" s="3">
        <v>0.3</v>
      </c>
      <c r="G33" s="3">
        <v>0.2</v>
      </c>
      <c r="H33" s="3">
        <v>0.1</v>
      </c>
    </row>
    <row r="34" spans="1:11">
      <c r="B34" t="s">
        <v>2</v>
      </c>
      <c r="C34">
        <v>90.216322517207459</v>
      </c>
      <c r="D34">
        <v>90.108161258603744</v>
      </c>
      <c r="E34">
        <v>90.766961651917384</v>
      </c>
      <c r="F34">
        <v>89.626698039487067</v>
      </c>
      <c r="G34">
        <v>86.779672257833838</v>
      </c>
      <c r="H34">
        <v>62.564583892017517</v>
      </c>
      <c r="K34" t="str">
        <f t="shared" ref="K34:K44" si="4">"    "&amp;_xlfn.TEXTJOIN(", ",TRUE,C34:H34)&amp;","</f>
        <v xml:space="preserve">    90.2163225172075, 90.1081612586037, 90.7669616519174, 89.6266980394871, 86.7796722578338, 62.5645838920175,</v>
      </c>
    </row>
    <row r="35" spans="1:11">
      <c r="B35" t="s">
        <v>3</v>
      </c>
      <c r="C35">
        <v>93.372664700098326</v>
      </c>
      <c r="D35">
        <v>93.588987217305814</v>
      </c>
      <c r="E35">
        <v>93.166175024582103</v>
      </c>
      <c r="F35">
        <v>91.858407079646028</v>
      </c>
      <c r="G35">
        <v>89.196417500728103</v>
      </c>
      <c r="H35">
        <v>57.836630651360878</v>
      </c>
      <c r="K35" t="str">
        <f t="shared" si="4"/>
        <v xml:space="preserve">    93.3726647000983, 93.5889872173058, 93.1661750245821, 91.858407079646, 89.1964175007281, 57.8366306513609,</v>
      </c>
    </row>
    <row r="36" spans="1:11">
      <c r="B36" t="s">
        <v>4</v>
      </c>
      <c r="C36">
        <v>95.703048180924284</v>
      </c>
      <c r="D36">
        <v>96.588003933136676</v>
      </c>
      <c r="E36">
        <v>96.135693215339231</v>
      </c>
      <c r="F36">
        <v>94.257620452310718</v>
      </c>
      <c r="G36">
        <v>92.664700098328424</v>
      </c>
      <c r="H36">
        <v>67.794646435811146</v>
      </c>
      <c r="K36" t="str">
        <f t="shared" si="4"/>
        <v xml:space="preserve">    95.7030481809243, 96.5880039331367, 96.1356932153392, 94.2576204523107, 92.6647000983284, 67.7946464358111,</v>
      </c>
    </row>
    <row r="37" spans="1:11">
      <c r="B37" t="s">
        <v>5</v>
      </c>
      <c r="C37">
        <v>93.874139626352019</v>
      </c>
      <c r="D37">
        <v>94.110127826941991</v>
      </c>
      <c r="E37">
        <v>93.077679449360858</v>
      </c>
      <c r="F37">
        <v>91.701081612586037</v>
      </c>
      <c r="G37">
        <v>90.720046597865618</v>
      </c>
      <c r="H37">
        <v>64.863508046494047</v>
      </c>
      <c r="K37" t="str">
        <f t="shared" si="4"/>
        <v xml:space="preserve">    93.874139626352, 94.110127826942, 93.0776794493609, 91.701081612586, 90.7200465978656, 64.863508046494,</v>
      </c>
    </row>
    <row r="38" spans="1:11">
      <c r="B38" t="s">
        <v>6</v>
      </c>
      <c r="C38">
        <v>92.163225172074746</v>
      </c>
      <c r="D38">
        <v>89.144715784738636</v>
      </c>
      <c r="E38">
        <v>89.469026548672559</v>
      </c>
      <c r="F38">
        <v>88.003990807302259</v>
      </c>
      <c r="G38">
        <v>85.774934615928075</v>
      </c>
      <c r="H38">
        <v>64.152140877804584</v>
      </c>
      <c r="K38" t="str">
        <f t="shared" si="4"/>
        <v xml:space="preserve">    92.1632251720747, 89.1447157847386, 89.4690265486726, 88.0039908073023, 85.7749346159281, 64.1521408778046,</v>
      </c>
    </row>
    <row r="39" spans="1:11">
      <c r="B39" t="s">
        <v>7</v>
      </c>
      <c r="C39">
        <v>95.663716814159287</v>
      </c>
      <c r="D39">
        <v>94.86731430779389</v>
      </c>
      <c r="E39">
        <v>93.75620319668279</v>
      </c>
      <c r="F39">
        <v>91.897853787662527</v>
      </c>
      <c r="G39">
        <v>85.621069386413367</v>
      </c>
      <c r="H39">
        <v>71.198309097252874</v>
      </c>
      <c r="K39" t="str">
        <f t="shared" si="4"/>
        <v xml:space="preserve">    95.6637168141593, 94.8673143077939, 93.7562031966828, 91.8978537876625, 85.6210693864134, 71.1983090972529,</v>
      </c>
    </row>
    <row r="40" spans="1:11">
      <c r="B40" t="s">
        <v>8</v>
      </c>
      <c r="C40">
        <v>92.595870206489678</v>
      </c>
      <c r="D40">
        <v>90.875122910521142</v>
      </c>
      <c r="E40">
        <v>91.140667306810613</v>
      </c>
      <c r="F40">
        <v>89.705014749262546</v>
      </c>
      <c r="G40">
        <v>86.485436725231182</v>
      </c>
      <c r="H40">
        <v>65.09690106892505</v>
      </c>
      <c r="K40" t="str">
        <f t="shared" si="4"/>
        <v xml:space="preserve">    92.5958702064897, 90.8751229105211, 91.1406673068106, 89.7050147492625, 86.4854367252312, 65.096901068925,</v>
      </c>
    </row>
    <row r="41" spans="1:11">
      <c r="B41" t="s">
        <v>9</v>
      </c>
      <c r="C41">
        <v>92.586037364798429</v>
      </c>
      <c r="D41">
        <v>92.694198623402158</v>
      </c>
      <c r="E41">
        <v>92.458210422812201</v>
      </c>
      <c r="F41">
        <v>88.751402117088674</v>
      </c>
      <c r="G41">
        <v>85.704201593439393</v>
      </c>
      <c r="H41">
        <v>57.565636380937555</v>
      </c>
      <c r="K41" t="str">
        <f t="shared" si="4"/>
        <v xml:space="preserve">    92.5860373647984, 92.6941986234022, 92.4582104228122, 88.7514021170887, 85.7042015934394, 57.5656363809376,</v>
      </c>
    </row>
    <row r="42" spans="1:11">
      <c r="B42" t="s">
        <v>10</v>
      </c>
      <c r="C42">
        <v>88.997050147492629</v>
      </c>
      <c r="D42">
        <v>86.814159292035399</v>
      </c>
      <c r="E42">
        <v>84.601769911504405</v>
      </c>
      <c r="F42">
        <v>85.06414415349613</v>
      </c>
      <c r="G42">
        <v>81.525243874658656</v>
      </c>
      <c r="H42">
        <v>67.558139199589377</v>
      </c>
      <c r="K42" t="str">
        <f t="shared" si="4"/>
        <v xml:space="preserve">    88.9970501474926, 86.8141592920354, 84.6017699115044, 85.0641441534961, 81.5252438746587, 67.5581391995894,</v>
      </c>
    </row>
    <row r="43" spans="1:11">
      <c r="B43" t="s">
        <v>11</v>
      </c>
      <c r="C43">
        <v>99.026548672566378</v>
      </c>
      <c r="D43">
        <v>98.554572271386448</v>
      </c>
      <c r="E43">
        <v>98.141592920353972</v>
      </c>
      <c r="F43">
        <v>96.283243511333737</v>
      </c>
      <c r="G43">
        <v>95.517319930679903</v>
      </c>
      <c r="H43">
        <v>83.337975818706624</v>
      </c>
      <c r="K43" t="str">
        <f t="shared" si="4"/>
        <v xml:space="preserve">    99.0265486725664, 98.5545722713864, 98.141592920354, 96.2832435113337, 95.5173199306799, 83.3379758187066,</v>
      </c>
    </row>
    <row r="44" spans="1:11">
      <c r="B44" t="s">
        <v>12</v>
      </c>
      <c r="C44">
        <v>93.419862340216326</v>
      </c>
      <c r="D44">
        <v>92.73453634258658</v>
      </c>
      <c r="E44">
        <v>92.271397964803626</v>
      </c>
      <c r="F44">
        <v>90.714945631017571</v>
      </c>
      <c r="G44">
        <v>87.99890425811067</v>
      </c>
      <c r="H44">
        <v>66.196847146889951</v>
      </c>
      <c r="K44" t="str">
        <f t="shared" si="4"/>
        <v xml:space="preserve">    93.4198623402163, 92.7345363425866, 92.2713979648036, 90.7149456310176, 87.9989042581107, 66.19684714689,</v>
      </c>
    </row>
    <row r="46" spans="1:11">
      <c r="B46" t="s">
        <v>13</v>
      </c>
      <c r="C46">
        <f>_xlfn.STDEV.P(C34:C43)</f>
        <v>2.7325564362126826</v>
      </c>
      <c r="D46">
        <f t="shared" ref="D46:H46" si="5">_xlfn.STDEV.P(D34:D43)</f>
        <v>3.3791667367103355</v>
      </c>
      <c r="E46">
        <f t="shared" si="5"/>
        <v>3.5114183510366326</v>
      </c>
      <c r="F46">
        <f t="shared" si="5"/>
        <v>3.0426354673396068</v>
      </c>
      <c r="G46">
        <f t="shared" si="5"/>
        <v>3.8559832470732225</v>
      </c>
      <c r="H46">
        <f t="shared" si="5"/>
        <v>6.9856413174035268</v>
      </c>
    </row>
    <row r="47" spans="1:11">
      <c r="B47" t="s">
        <v>20</v>
      </c>
      <c r="C47">
        <v>0.411833570127005</v>
      </c>
      <c r="D47">
        <v>0.57403609458998295</v>
      </c>
      <c r="E47">
        <v>0.65731475228460501</v>
      </c>
      <c r="F47">
        <v>0.43620655263359698</v>
      </c>
      <c r="G47">
        <v>0.60993547208024201</v>
      </c>
      <c r="H47">
        <v>0.55898497150007098</v>
      </c>
    </row>
    <row r="48" spans="1:11" ht="15" thickBot="1"/>
    <row r="49" spans="1:8" ht="15" thickBot="1">
      <c r="A49" s="1" t="s">
        <v>17</v>
      </c>
      <c r="B49" s="2" t="s">
        <v>1</v>
      </c>
      <c r="C49" s="3">
        <v>1</v>
      </c>
      <c r="D49" s="3">
        <v>0.75</v>
      </c>
      <c r="E49" s="3">
        <v>0.5</v>
      </c>
      <c r="F49" s="3">
        <v>0.3</v>
      </c>
      <c r="G49" s="3">
        <v>0.2</v>
      </c>
      <c r="H49" s="3">
        <v>0.1</v>
      </c>
    </row>
    <row r="50" spans="1:8">
      <c r="B50" t="s">
        <v>2</v>
      </c>
      <c r="C50">
        <v>91.28810226155359</v>
      </c>
      <c r="D50">
        <v>90.80629301868241</v>
      </c>
      <c r="E50">
        <v>90.432702705040697</v>
      </c>
      <c r="F50">
        <v>88.967551622418867</v>
      </c>
      <c r="G50">
        <v>84.023218193929026</v>
      </c>
      <c r="H50">
        <v>61.508000357557876</v>
      </c>
    </row>
    <row r="51" spans="1:8">
      <c r="B51" t="s">
        <v>3</v>
      </c>
      <c r="C51">
        <v>93.126843657817119</v>
      </c>
      <c r="D51">
        <v>92.330383480825958</v>
      </c>
      <c r="E51">
        <v>92.881022615535883</v>
      </c>
      <c r="F51">
        <v>90.137659783677478</v>
      </c>
      <c r="G51">
        <v>86.461157391788277</v>
      </c>
      <c r="H51">
        <v>54.31589661963627</v>
      </c>
    </row>
    <row r="52" spans="1:8">
      <c r="B52" t="s">
        <v>4</v>
      </c>
      <c r="C52">
        <v>95.830875122910527</v>
      </c>
      <c r="D52">
        <v>96.509341199606681</v>
      </c>
      <c r="E52">
        <v>95.929203539823007</v>
      </c>
      <c r="F52">
        <v>93.264503441494597</v>
      </c>
      <c r="G52">
        <v>87.926077791907076</v>
      </c>
      <c r="H52">
        <v>65.120171166417251</v>
      </c>
    </row>
    <row r="53" spans="1:8">
      <c r="B53" t="s">
        <v>5</v>
      </c>
      <c r="C53">
        <v>94.277286135693203</v>
      </c>
      <c r="D53">
        <v>92.477876106194685</v>
      </c>
      <c r="E53">
        <v>93.706981317600778</v>
      </c>
      <c r="F53">
        <v>91.307767944936074</v>
      </c>
      <c r="G53">
        <v>88.536579036150826</v>
      </c>
      <c r="H53">
        <v>63.014789631974885</v>
      </c>
    </row>
    <row r="54" spans="1:8">
      <c r="B54" t="s">
        <v>6</v>
      </c>
      <c r="C54">
        <v>92.281219272369711</v>
      </c>
      <c r="D54">
        <v>90.078662733529995</v>
      </c>
      <c r="E54">
        <v>89.587020648967552</v>
      </c>
      <c r="F54">
        <v>86.401352952880202</v>
      </c>
      <c r="G54">
        <v>83.01121405317808</v>
      </c>
      <c r="H54">
        <v>58.968243669927936</v>
      </c>
    </row>
    <row r="55" spans="1:8">
      <c r="B55" t="s">
        <v>7</v>
      </c>
      <c r="C55">
        <v>95.545722713864293</v>
      </c>
      <c r="D55">
        <v>94.749550890001942</v>
      </c>
      <c r="E55">
        <v>94.070796460176993</v>
      </c>
      <c r="F55">
        <v>89.073088867550766</v>
      </c>
      <c r="G55">
        <v>85.448836062595703</v>
      </c>
      <c r="H55">
        <v>67.786313030389536</v>
      </c>
    </row>
    <row r="56" spans="1:8">
      <c r="B56" t="s">
        <v>8</v>
      </c>
      <c r="C56">
        <v>92.064896755162238</v>
      </c>
      <c r="D56">
        <v>91.563421828908574</v>
      </c>
      <c r="E56">
        <v>89.62635201573255</v>
      </c>
      <c r="F56">
        <v>87.552141454510846</v>
      </c>
      <c r="G56">
        <v>79.913321049490051</v>
      </c>
      <c r="H56">
        <v>61.599235287502495</v>
      </c>
    </row>
    <row r="57" spans="1:8">
      <c r="B57" t="s">
        <v>9</v>
      </c>
      <c r="C57">
        <v>92.861356932153399</v>
      </c>
      <c r="D57">
        <v>91.573254670599795</v>
      </c>
      <c r="E57">
        <v>91.848574237954764</v>
      </c>
      <c r="F57">
        <v>87.384464110127809</v>
      </c>
      <c r="G57">
        <v>81.678272880099883</v>
      </c>
      <c r="H57">
        <v>50.125721964146173</v>
      </c>
    </row>
    <row r="58" spans="1:8">
      <c r="B58" t="s">
        <v>10</v>
      </c>
      <c r="C58">
        <v>88.544739429695184</v>
      </c>
      <c r="D58">
        <v>86.273352999016723</v>
      </c>
      <c r="E58">
        <v>85.447567308829093</v>
      </c>
      <c r="F58">
        <v>82.58770981294532</v>
      </c>
      <c r="G58">
        <v>81.77066122255961</v>
      </c>
      <c r="H58">
        <v>63.977168199263552</v>
      </c>
    </row>
    <row r="59" spans="1:8">
      <c r="B59" t="s">
        <v>11</v>
      </c>
      <c r="C59">
        <v>98.416912487708942</v>
      </c>
      <c r="D59">
        <v>98.003933136676508</v>
      </c>
      <c r="E59">
        <v>97.16814159292035</v>
      </c>
      <c r="F59">
        <v>96.184857423795464</v>
      </c>
      <c r="G59">
        <v>92.313370646228194</v>
      </c>
      <c r="H59">
        <v>77.0242822169742</v>
      </c>
    </row>
    <row r="60" spans="1:8">
      <c r="B60" t="s">
        <v>12</v>
      </c>
      <c r="C60">
        <v>93.42379547689282</v>
      </c>
      <c r="D60">
        <v>92.43660700640433</v>
      </c>
      <c r="E60">
        <v>92.069836244258155</v>
      </c>
      <c r="F60">
        <v>89.286109741433748</v>
      </c>
      <c r="G60">
        <v>85.108270832792684</v>
      </c>
      <c r="H60">
        <v>62.343982214379025</v>
      </c>
    </row>
    <row r="62" spans="1:8">
      <c r="B62" t="s">
        <v>13</v>
      </c>
      <c r="C62">
        <f>_xlfn.STDEV.P(C50:C59)</f>
        <v>2.6053646280300424</v>
      </c>
      <c r="D62">
        <f t="shared" ref="D62:H62" si="6">_xlfn.STDEV.P(D50:D59)</f>
        <v>3.1726382475158723</v>
      </c>
      <c r="E62">
        <f t="shared" si="6"/>
        <v>3.270292645393746</v>
      </c>
      <c r="F62">
        <f t="shared" si="6"/>
        <v>3.5804010670580966</v>
      </c>
      <c r="G62">
        <f t="shared" si="6"/>
        <v>3.5919367577637273</v>
      </c>
      <c r="H62">
        <f t="shared" si="6"/>
        <v>6.9450690655794363</v>
      </c>
    </row>
    <row r="63" spans="1:8">
      <c r="B63" t="s">
        <v>20</v>
      </c>
      <c r="C63">
        <v>0.472782629419359</v>
      </c>
      <c r="D63">
        <v>0.55789353799916797</v>
      </c>
      <c r="E63">
        <v>0.60091373451918195</v>
      </c>
      <c r="F63">
        <v>0.40067847223856001</v>
      </c>
      <c r="G63">
        <v>0.44807144897288098</v>
      </c>
      <c r="H63">
        <v>0.81014256682131403</v>
      </c>
    </row>
    <row r="64" spans="1:8" ht="15" thickBot="1"/>
    <row r="65" spans="1:8" ht="15" thickBot="1">
      <c r="A65" s="1" t="s">
        <v>18</v>
      </c>
      <c r="B65" s="2" t="s">
        <v>1</v>
      </c>
      <c r="C65" s="3">
        <v>1</v>
      </c>
      <c r="D65" s="3">
        <v>0.75</v>
      </c>
      <c r="E65" s="3">
        <v>0.5</v>
      </c>
      <c r="F65" s="3">
        <v>0.3</v>
      </c>
      <c r="G65" s="3">
        <v>0.2</v>
      </c>
      <c r="H65" s="3">
        <v>0.1</v>
      </c>
    </row>
    <row r="66" spans="1:8">
      <c r="B66" t="s">
        <v>2</v>
      </c>
      <c r="C66">
        <v>90.963618485742373</v>
      </c>
      <c r="D66">
        <v>90.3638151425762</v>
      </c>
      <c r="E66">
        <v>90.786627335299897</v>
      </c>
      <c r="F66">
        <v>89.311701081612568</v>
      </c>
      <c r="G66">
        <v>86.637975530353501</v>
      </c>
      <c r="H66">
        <v>61.544448193035116</v>
      </c>
    </row>
    <row r="67" spans="1:8">
      <c r="B67" t="s">
        <v>3</v>
      </c>
      <c r="C67">
        <v>93.726647000983291</v>
      </c>
      <c r="D67">
        <v>94.001966568338261</v>
      </c>
      <c r="E67">
        <v>93.362831858407091</v>
      </c>
      <c r="F67">
        <v>92.989183874139613</v>
      </c>
      <c r="G67">
        <v>87.492625368731566</v>
      </c>
      <c r="H67">
        <v>59.919174618004185</v>
      </c>
    </row>
    <row r="68" spans="1:8">
      <c r="B68" t="s">
        <v>4</v>
      </c>
      <c r="C68">
        <v>95.722713864306797</v>
      </c>
      <c r="D68">
        <v>96.627335299901674</v>
      </c>
      <c r="E68">
        <v>95.978367748279254</v>
      </c>
      <c r="F68">
        <v>94.031465093411995</v>
      </c>
      <c r="G68">
        <v>91.180056344201361</v>
      </c>
      <c r="H68">
        <v>68.159441979025203</v>
      </c>
    </row>
    <row r="69" spans="1:8">
      <c r="B69" t="s">
        <v>5</v>
      </c>
      <c r="C69">
        <v>94.650934119960667</v>
      </c>
      <c r="D69">
        <v>93.992133726647012</v>
      </c>
      <c r="E69">
        <v>93.136676499508368</v>
      </c>
      <c r="F69">
        <v>92.409046214355953</v>
      </c>
      <c r="G69">
        <v>90.639596074937216</v>
      </c>
      <c r="H69">
        <v>66.014354218750441</v>
      </c>
    </row>
    <row r="70" spans="1:8">
      <c r="B70" t="s">
        <v>6</v>
      </c>
      <c r="C70">
        <v>91.986234021632256</v>
      </c>
      <c r="D70">
        <v>89.872230728639508</v>
      </c>
      <c r="E70">
        <v>89.134709931170107</v>
      </c>
      <c r="F70">
        <v>86.77863418657023</v>
      </c>
      <c r="G70">
        <v>84.141356470788381</v>
      </c>
      <c r="H70">
        <v>62.721332652819946</v>
      </c>
    </row>
    <row r="71" spans="1:8">
      <c r="B71" t="s">
        <v>7</v>
      </c>
      <c r="C71">
        <v>95.270403146509352</v>
      </c>
      <c r="D71">
        <v>94.090577484810993</v>
      </c>
      <c r="E71">
        <v>93.530105508409818</v>
      </c>
      <c r="F71">
        <v>92.340273993142958</v>
      </c>
      <c r="G71">
        <v>85.991949180644568</v>
      </c>
      <c r="H71">
        <v>69.898355522106598</v>
      </c>
    </row>
    <row r="72" spans="1:8">
      <c r="B72" t="s">
        <v>8</v>
      </c>
      <c r="C72">
        <v>92.38938053097344</v>
      </c>
      <c r="D72">
        <v>91.327433628318587</v>
      </c>
      <c r="E72">
        <v>90.914454277286112</v>
      </c>
      <c r="F72">
        <v>90.36393048382773</v>
      </c>
      <c r="G72">
        <v>85.882692180151494</v>
      </c>
      <c r="H72">
        <v>66.463781405260136</v>
      </c>
    </row>
    <row r="73" spans="1:8">
      <c r="B73" t="s">
        <v>9</v>
      </c>
      <c r="C73">
        <v>93.333333333333329</v>
      </c>
      <c r="D73">
        <v>92.979351032448378</v>
      </c>
      <c r="E73">
        <v>91.622418879056042</v>
      </c>
      <c r="F73">
        <v>89.905247161884333</v>
      </c>
      <c r="G73">
        <v>82.87724518954893</v>
      </c>
      <c r="H73">
        <v>57.269497717684978</v>
      </c>
    </row>
    <row r="74" spans="1:8">
      <c r="B74" t="s">
        <v>10</v>
      </c>
      <c r="C74">
        <v>88.485742379547688</v>
      </c>
      <c r="D74">
        <v>86.214355948869226</v>
      </c>
      <c r="E74">
        <v>86.98131760078661</v>
      </c>
      <c r="F74">
        <v>85.270403146509338</v>
      </c>
      <c r="G74">
        <v>82.923756549220442</v>
      </c>
      <c r="H74">
        <v>66.424478873808013</v>
      </c>
    </row>
    <row r="75" spans="1:8">
      <c r="B75" t="s">
        <v>11</v>
      </c>
      <c r="C75">
        <v>98.436578171091455</v>
      </c>
      <c r="D75">
        <v>97.669616519174042</v>
      </c>
      <c r="E75">
        <v>98.003933136676508</v>
      </c>
      <c r="F75">
        <v>96.676557178983671</v>
      </c>
      <c r="G75">
        <v>95.57522123893807</v>
      </c>
      <c r="H75">
        <v>82.238139314930649</v>
      </c>
    </row>
    <row r="76" spans="1:8">
      <c r="B76" t="s">
        <v>12</v>
      </c>
      <c r="C76">
        <v>93.496558505408061</v>
      </c>
      <c r="D76">
        <v>92.713881607972382</v>
      </c>
      <c r="E76">
        <v>92.345144277487989</v>
      </c>
      <c r="F76">
        <v>91.007644241443842</v>
      </c>
      <c r="G76">
        <v>87.334247412751552</v>
      </c>
      <c r="H76">
        <v>66.065300449542534</v>
      </c>
    </row>
    <row r="78" spans="1:8">
      <c r="B78" t="s">
        <v>13</v>
      </c>
      <c r="C78">
        <f>_xlfn.STDEV.P(C66:C75)</f>
        <v>2.6258187204355288</v>
      </c>
      <c r="D78">
        <f t="shared" ref="D78:H78" si="7">_xlfn.STDEV.P(D66:D75)</f>
        <v>3.207758549377592</v>
      </c>
      <c r="E78">
        <f t="shared" si="7"/>
        <v>3.0391488081079605</v>
      </c>
      <c r="F78">
        <f t="shared" si="7"/>
        <v>3.228819082090463</v>
      </c>
      <c r="G78">
        <f t="shared" si="7"/>
        <v>3.8413504397579064</v>
      </c>
      <c r="H78">
        <f t="shared" si="7"/>
        <v>6.5398018533983322</v>
      </c>
    </row>
    <row r="79" spans="1:8">
      <c r="B79" t="s">
        <v>20</v>
      </c>
      <c r="C79">
        <v>0.50619159168604499</v>
      </c>
      <c r="D79">
        <v>0.60844777687949203</v>
      </c>
      <c r="E79">
        <v>0.52908115400970401</v>
      </c>
      <c r="F79">
        <v>0.52870004773477497</v>
      </c>
      <c r="G79">
        <v>0.36218248656198898</v>
      </c>
      <c r="H79">
        <v>0.47951022826967499</v>
      </c>
    </row>
  </sheetData>
  <phoneticPr fontId="2" type="noConversion"/>
  <conditionalFormatting sqref="C2:H12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8:H28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4:H44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0:H60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66:H76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2423-130F-4AA1-988E-4DD91EE4E4B3}">
  <dimension ref="A1:Q76"/>
  <sheetViews>
    <sheetView workbookViewId="0"/>
  </sheetViews>
  <sheetFormatPr defaultRowHeight="14.25"/>
  <cols>
    <col min="12" max="12" width="13" bestFit="1" customWidth="1"/>
  </cols>
  <sheetData>
    <row r="1" spans="1:17" ht="15" thickBot="1">
      <c r="A1" s="1" t="s">
        <v>0</v>
      </c>
      <c r="B1" s="2" t="s">
        <v>1</v>
      </c>
      <c r="C1" s="3">
        <v>1</v>
      </c>
      <c r="D1" s="3">
        <v>0.75</v>
      </c>
      <c r="E1" s="3">
        <v>0.5</v>
      </c>
      <c r="F1" s="3">
        <v>0.3</v>
      </c>
      <c r="G1" s="3">
        <v>0.2</v>
      </c>
      <c r="H1" s="3">
        <v>0.1</v>
      </c>
    </row>
    <row r="2" spans="1:17">
      <c r="B2" t="s">
        <v>2</v>
      </c>
      <c r="C2">
        <v>91.052114060963618</v>
      </c>
      <c r="D2">
        <v>90.589970501474923</v>
      </c>
      <c r="E2">
        <v>89.213372664700103</v>
      </c>
      <c r="F2">
        <v>86.125975714899496</v>
      </c>
      <c r="G2">
        <v>78.381243205679411</v>
      </c>
      <c r="H2">
        <v>59.109652044279507</v>
      </c>
    </row>
    <row r="3" spans="1:17">
      <c r="B3" t="s">
        <v>3</v>
      </c>
      <c r="C3">
        <v>93.588987217305814</v>
      </c>
      <c r="D3">
        <v>92.664700098328424</v>
      </c>
      <c r="E3">
        <v>91.484759095378578</v>
      </c>
      <c r="F3">
        <v>87.050262833876857</v>
      </c>
      <c r="G3">
        <v>77.323996459023576</v>
      </c>
      <c r="H3">
        <v>51.20410499514125</v>
      </c>
    </row>
    <row r="4" spans="1:17">
      <c r="B4" t="s">
        <v>4</v>
      </c>
      <c r="C4">
        <v>95.732546705998018</v>
      </c>
      <c r="D4">
        <v>95.575221238938056</v>
      </c>
      <c r="E4">
        <v>94.788593903638159</v>
      </c>
      <c r="F4">
        <v>90.90462143559489</v>
      </c>
      <c r="G4">
        <v>84.645311233949528</v>
      </c>
      <c r="H4">
        <v>66.332667237605861</v>
      </c>
    </row>
    <row r="5" spans="1:17">
      <c r="B5" t="s">
        <v>5</v>
      </c>
      <c r="C5">
        <v>95.073746312684364</v>
      </c>
      <c r="D5">
        <v>94.247787610619483</v>
      </c>
      <c r="E5">
        <v>93.706981317600778</v>
      </c>
      <c r="F5">
        <v>90.108218929229494</v>
      </c>
      <c r="G5">
        <v>80.254529306770237</v>
      </c>
      <c r="H5">
        <v>58.133115338367979</v>
      </c>
    </row>
    <row r="6" spans="1:17">
      <c r="B6" t="s">
        <v>6</v>
      </c>
      <c r="C6">
        <v>91.701081612586037</v>
      </c>
      <c r="D6">
        <v>87.787610619469021</v>
      </c>
      <c r="E6">
        <v>86.686447691300671</v>
      </c>
      <c r="F6">
        <v>83.369752333497686</v>
      </c>
      <c r="G6">
        <v>74.444098420689912</v>
      </c>
      <c r="H6">
        <v>56.666868513856819</v>
      </c>
    </row>
    <row r="7" spans="1:17">
      <c r="B7" t="s">
        <v>7</v>
      </c>
      <c r="C7">
        <v>94.896755162241888</v>
      </c>
      <c r="D7">
        <v>93.294405660948613</v>
      </c>
      <c r="E7">
        <v>92.183294549837512</v>
      </c>
      <c r="F7">
        <v>87.347900933399089</v>
      </c>
      <c r="G7">
        <v>75.81011369763867</v>
      </c>
      <c r="H7">
        <v>65.038278877844959</v>
      </c>
    </row>
    <row r="8" spans="1:17">
      <c r="B8" t="s">
        <v>8</v>
      </c>
      <c r="C8">
        <v>91.82896622519803</v>
      </c>
      <c r="D8">
        <v>89.144600443487107</v>
      </c>
      <c r="E8">
        <v>88.73162109245466</v>
      </c>
      <c r="F8">
        <v>85.311176278918211</v>
      </c>
      <c r="G8">
        <v>78.846789332087653</v>
      </c>
      <c r="H8">
        <v>61.274001793556465</v>
      </c>
    </row>
    <row r="9" spans="1:17">
      <c r="B9" t="s">
        <v>9</v>
      </c>
      <c r="C9">
        <v>92.67453294001966</v>
      </c>
      <c r="D9">
        <v>91.760078662733534</v>
      </c>
      <c r="E9">
        <v>90.147492625368727</v>
      </c>
      <c r="F9">
        <v>81.329106076465493</v>
      </c>
      <c r="G9">
        <v>69.556657064507476</v>
      </c>
      <c r="H9">
        <v>49.463490168600082</v>
      </c>
    </row>
    <row r="10" spans="1:17">
      <c r="B10" t="s">
        <v>10</v>
      </c>
      <c r="C10">
        <v>87.777777777777786</v>
      </c>
      <c r="D10">
        <v>84.985308408088883</v>
      </c>
      <c r="E10">
        <v>83.097575815246387</v>
      </c>
      <c r="F10">
        <v>81.104450153836396</v>
      </c>
      <c r="G10">
        <v>73.598733553058409</v>
      </c>
      <c r="H10">
        <v>61.236487051502742</v>
      </c>
    </row>
    <row r="11" spans="1:17">
      <c r="B11" t="s">
        <v>11</v>
      </c>
      <c r="C11">
        <v>98.407079646017692</v>
      </c>
      <c r="D11">
        <v>96.106194690265468</v>
      </c>
      <c r="E11">
        <v>96.165191740412979</v>
      </c>
      <c r="F11">
        <v>93.323673503519345</v>
      </c>
      <c r="G11">
        <v>89.38203040972094</v>
      </c>
      <c r="H11">
        <v>80.091263765257494</v>
      </c>
    </row>
    <row r="12" spans="1:17">
      <c r="B12" t="s">
        <v>14</v>
      </c>
      <c r="C12">
        <v>93.273358766079298</v>
      </c>
      <c r="D12">
        <v>91.615587793435367</v>
      </c>
      <c r="E12">
        <v>90.62053304959386</v>
      </c>
      <c r="F12">
        <v>86.597513819323694</v>
      </c>
      <c r="G12">
        <v>78.224350268312577</v>
      </c>
      <c r="H12">
        <v>60.85499297860131</v>
      </c>
    </row>
    <row r="14" spans="1:17">
      <c r="B14" t="s">
        <v>13</v>
      </c>
      <c r="C14">
        <f>_xlfn.STDEV.P(C2:C11)</f>
        <v>2.8005603718134133</v>
      </c>
      <c r="D14">
        <f t="shared" ref="D14:H14" si="0">_xlfn.STDEV.P(D2:D11)</f>
        <v>3.3538686640860944</v>
      </c>
      <c r="E14">
        <f t="shared" si="0"/>
        <v>3.7239094173513214</v>
      </c>
      <c r="F14">
        <f t="shared" si="0"/>
        <v>3.835503072799908</v>
      </c>
      <c r="G14">
        <f t="shared" si="0"/>
        <v>5.3638694360934682</v>
      </c>
      <c r="H14">
        <f t="shared" si="0"/>
        <v>8.1777821604148073</v>
      </c>
    </row>
    <row r="15" spans="1:17" ht="15" thickBot="1"/>
    <row r="16" spans="1:17" ht="15" thickBot="1">
      <c r="A16" s="1" t="s">
        <v>15</v>
      </c>
      <c r="B16" s="2" t="s">
        <v>1</v>
      </c>
      <c r="C16" s="3">
        <v>1</v>
      </c>
      <c r="D16" s="3">
        <v>0.75</v>
      </c>
      <c r="E16" s="3">
        <v>0.5</v>
      </c>
      <c r="F16" s="3">
        <v>0.3</v>
      </c>
      <c r="G16" s="3">
        <v>0.2</v>
      </c>
      <c r="H16" s="3">
        <v>0.1</v>
      </c>
      <c r="J16" s="1" t="s">
        <v>15</v>
      </c>
      <c r="K16" s="2" t="s">
        <v>1</v>
      </c>
      <c r="L16" s="3">
        <v>1</v>
      </c>
      <c r="M16" s="3">
        <v>0.75</v>
      </c>
      <c r="N16" s="3">
        <v>0.5</v>
      </c>
      <c r="O16" s="3">
        <v>0.3</v>
      </c>
      <c r="P16" s="3">
        <v>0.2</v>
      </c>
      <c r="Q16" s="3">
        <v>0.1</v>
      </c>
    </row>
    <row r="17" spans="1:17">
      <c r="B17" t="s">
        <v>2</v>
      </c>
      <c r="C17">
        <v>90.452310717797445</v>
      </c>
      <c r="D17">
        <v>91.396263520157319</v>
      </c>
      <c r="E17">
        <v>90.619469026548686</v>
      </c>
      <c r="F17">
        <v>89.09537856440511</v>
      </c>
      <c r="G17">
        <v>84.429450081748115</v>
      </c>
      <c r="H17">
        <v>62.590333826417179</v>
      </c>
      <c r="K17" t="s">
        <v>2</v>
      </c>
      <c r="L17">
        <f t="shared" ref="L17:L26" si="1">C17-C2</f>
        <v>-0.59980334316617245</v>
      </c>
      <c r="M17">
        <f t="shared" ref="M17:M26" si="2">D17-D2</f>
        <v>0.80629301868239622</v>
      </c>
      <c r="N17">
        <f t="shared" ref="N17:N26" si="3">E17-E2</f>
        <v>1.4060963618485829</v>
      </c>
      <c r="O17">
        <f t="shared" ref="O17:O26" si="4">F17-F2</f>
        <v>2.9694028495056131</v>
      </c>
      <c r="P17">
        <f t="shared" ref="P17:P26" si="5">G17-G2</f>
        <v>6.0482068760687042</v>
      </c>
      <c r="Q17">
        <f t="shared" ref="Q17:Q26" si="6">H17-H2</f>
        <v>3.4806817821376725</v>
      </c>
    </row>
    <row r="18" spans="1:17">
      <c r="B18" t="s">
        <v>3</v>
      </c>
      <c r="C18">
        <v>94.218289085545734</v>
      </c>
      <c r="D18">
        <v>93.598935400248578</v>
      </c>
      <c r="E18">
        <v>92.074729596853487</v>
      </c>
      <c r="F18">
        <v>91.907571288102261</v>
      </c>
      <c r="G18">
        <v>83.765978367748289</v>
      </c>
      <c r="H18">
        <v>57.531985570809432</v>
      </c>
      <c r="K18" t="s">
        <v>3</v>
      </c>
      <c r="L18">
        <f t="shared" si="1"/>
        <v>0.62930186823992074</v>
      </c>
      <c r="M18">
        <f t="shared" si="2"/>
        <v>0.93423530192015392</v>
      </c>
      <c r="N18">
        <f t="shared" si="3"/>
        <v>0.58997050147490881</v>
      </c>
      <c r="O18">
        <f t="shared" si="4"/>
        <v>4.8573084542254037</v>
      </c>
      <c r="P18">
        <f t="shared" si="5"/>
        <v>6.4419819087247134</v>
      </c>
      <c r="Q18">
        <f t="shared" si="6"/>
        <v>6.327880575668182</v>
      </c>
    </row>
    <row r="19" spans="1:17">
      <c r="B19" t="s">
        <v>4</v>
      </c>
      <c r="C19">
        <v>96.214355948869226</v>
      </c>
      <c r="D19">
        <v>96.342182890855455</v>
      </c>
      <c r="E19">
        <v>96.15535889872173</v>
      </c>
      <c r="F19">
        <v>93.765978367748289</v>
      </c>
      <c r="G19">
        <v>90.718431820344463</v>
      </c>
      <c r="H19">
        <v>68.081009927998224</v>
      </c>
      <c r="K19" t="s">
        <v>4</v>
      </c>
      <c r="L19">
        <f t="shared" si="1"/>
        <v>0.48180924287120774</v>
      </c>
      <c r="M19">
        <f t="shared" si="2"/>
        <v>0.76696165191739851</v>
      </c>
      <c r="N19">
        <f t="shared" si="3"/>
        <v>1.366764995083571</v>
      </c>
      <c r="O19">
        <f t="shared" si="4"/>
        <v>2.8613569321533987</v>
      </c>
      <c r="P19">
        <f t="shared" si="5"/>
        <v>6.0731205863949356</v>
      </c>
      <c r="Q19">
        <f t="shared" si="6"/>
        <v>1.7483426903923629</v>
      </c>
    </row>
    <row r="20" spans="1:17">
      <c r="B20" t="s">
        <v>5</v>
      </c>
      <c r="C20">
        <v>94.011799410029496</v>
      </c>
      <c r="D20">
        <v>94.208456243854471</v>
      </c>
      <c r="E20">
        <v>93.470993117010821</v>
      </c>
      <c r="F20">
        <v>91.819075712881002</v>
      </c>
      <c r="G20">
        <v>88.987332647052881</v>
      </c>
      <c r="H20">
        <v>62.637277715781842</v>
      </c>
      <c r="K20" t="s">
        <v>5</v>
      </c>
      <c r="L20">
        <f t="shared" si="1"/>
        <v>-1.0619469026548671</v>
      </c>
      <c r="M20">
        <f t="shared" si="2"/>
        <v>-3.9331366765011921E-2</v>
      </c>
      <c r="N20">
        <f t="shared" si="3"/>
        <v>-0.23598820058995784</v>
      </c>
      <c r="O20">
        <f t="shared" si="4"/>
        <v>1.7108567836515078</v>
      </c>
      <c r="P20">
        <f t="shared" si="5"/>
        <v>8.7328033402826435</v>
      </c>
      <c r="Q20">
        <f t="shared" si="6"/>
        <v>4.5041623774138628</v>
      </c>
    </row>
    <row r="21" spans="1:17">
      <c r="B21" t="s">
        <v>6</v>
      </c>
      <c r="C21">
        <v>92.350049164208443</v>
      </c>
      <c r="D21">
        <v>89.636184857423814</v>
      </c>
      <c r="E21">
        <v>88.525073746312685</v>
      </c>
      <c r="F21">
        <v>87.984267453294009</v>
      </c>
      <c r="G21">
        <v>82.252499300743651</v>
      </c>
      <c r="H21">
        <v>62.052814759066543</v>
      </c>
      <c r="K21" t="s">
        <v>6</v>
      </c>
      <c r="L21">
        <f t="shared" si="1"/>
        <v>0.64896755162240538</v>
      </c>
      <c r="M21">
        <f t="shared" si="2"/>
        <v>1.8485742379547929</v>
      </c>
      <c r="N21">
        <f t="shared" si="3"/>
        <v>1.8386260550120141</v>
      </c>
      <c r="O21">
        <f t="shared" si="4"/>
        <v>4.614515119796323</v>
      </c>
      <c r="P21">
        <f t="shared" si="5"/>
        <v>7.808400880053739</v>
      </c>
      <c r="Q21">
        <f t="shared" si="6"/>
        <v>5.3859462452097233</v>
      </c>
    </row>
    <row r="22" spans="1:17">
      <c r="B22" t="s">
        <v>7</v>
      </c>
      <c r="C22">
        <v>95.339233038348084</v>
      </c>
      <c r="D22">
        <v>94.995314261657384</v>
      </c>
      <c r="E22">
        <v>93.795534563447788</v>
      </c>
      <c r="F22">
        <v>92.28133461362124</v>
      </c>
      <c r="G22">
        <v>86.768859015504745</v>
      </c>
      <c r="H22">
        <v>67.758948318468725</v>
      </c>
      <c r="K22" t="s">
        <v>7</v>
      </c>
      <c r="L22">
        <f t="shared" si="1"/>
        <v>0.44247787610619582</v>
      </c>
      <c r="M22">
        <f t="shared" si="2"/>
        <v>1.7009086007087717</v>
      </c>
      <c r="N22">
        <f t="shared" si="3"/>
        <v>1.6122400136102755</v>
      </c>
      <c r="O22">
        <f t="shared" si="4"/>
        <v>4.9334336802221515</v>
      </c>
      <c r="P22">
        <f t="shared" si="5"/>
        <v>10.958745317866075</v>
      </c>
      <c r="Q22">
        <f t="shared" si="6"/>
        <v>2.7206694406237659</v>
      </c>
    </row>
    <row r="23" spans="1:17">
      <c r="B23" t="s">
        <v>8</v>
      </c>
      <c r="C23">
        <v>91.347099311701072</v>
      </c>
      <c r="D23">
        <v>90.63913470993117</v>
      </c>
      <c r="E23">
        <v>90.589970501474923</v>
      </c>
      <c r="F23">
        <v>90.304818092428718</v>
      </c>
      <c r="G23">
        <v>82.574041874641367</v>
      </c>
      <c r="H23">
        <v>65.399239324446299</v>
      </c>
      <c r="K23" t="s">
        <v>8</v>
      </c>
      <c r="L23">
        <f t="shared" si="1"/>
        <v>-0.4818669134969582</v>
      </c>
      <c r="M23">
        <f t="shared" si="2"/>
        <v>1.4945342664440631</v>
      </c>
      <c r="N23">
        <f t="shared" si="3"/>
        <v>1.8583494090202635</v>
      </c>
      <c r="O23">
        <f t="shared" si="4"/>
        <v>4.9936418135105072</v>
      </c>
      <c r="P23">
        <f t="shared" si="5"/>
        <v>3.727252542553714</v>
      </c>
      <c r="Q23">
        <f t="shared" si="6"/>
        <v>4.1252375308898337</v>
      </c>
    </row>
    <row r="24" spans="1:17">
      <c r="B24" t="s">
        <v>9</v>
      </c>
      <c r="C24">
        <v>92.822083236014166</v>
      </c>
      <c r="D24">
        <v>93.225172074729599</v>
      </c>
      <c r="E24">
        <v>91.710914454277273</v>
      </c>
      <c r="F24">
        <v>89.773844641101277</v>
      </c>
      <c r="G24">
        <v>79.227847991764634</v>
      </c>
      <c r="H24">
        <v>57.776509024011169</v>
      </c>
      <c r="K24" t="s">
        <v>9</v>
      </c>
      <c r="L24">
        <f t="shared" si="1"/>
        <v>0.14755029599450609</v>
      </c>
      <c r="M24">
        <f t="shared" si="2"/>
        <v>1.4650934119960652</v>
      </c>
      <c r="N24">
        <f t="shared" si="3"/>
        <v>1.5634218289085453</v>
      </c>
      <c r="O24">
        <f t="shared" si="4"/>
        <v>8.4447385646357844</v>
      </c>
      <c r="P24">
        <f t="shared" si="5"/>
        <v>9.6711909272571575</v>
      </c>
      <c r="Q24">
        <f t="shared" si="6"/>
        <v>8.3130188554110873</v>
      </c>
    </row>
    <row r="25" spans="1:17">
      <c r="B25" t="s">
        <v>10</v>
      </c>
      <c r="C25">
        <v>87.826941986234019</v>
      </c>
      <c r="D25">
        <v>85.703048180924284</v>
      </c>
      <c r="E25">
        <v>86.037364798426736</v>
      </c>
      <c r="F25">
        <v>84.542772861356923</v>
      </c>
      <c r="G25">
        <v>81.435652557548067</v>
      </c>
      <c r="H25">
        <v>66.788294016384228</v>
      </c>
      <c r="K25" t="s">
        <v>10</v>
      </c>
      <c r="L25">
        <f t="shared" si="1"/>
        <v>4.9164208456232927E-2</v>
      </c>
      <c r="M25">
        <f t="shared" si="2"/>
        <v>0.71773977283540091</v>
      </c>
      <c r="N25">
        <f t="shared" si="3"/>
        <v>2.9397889831803496</v>
      </c>
      <c r="O25">
        <f t="shared" si="4"/>
        <v>3.4383227075205269</v>
      </c>
      <c r="P25">
        <f t="shared" si="5"/>
        <v>7.8369190044896584</v>
      </c>
      <c r="Q25">
        <f t="shared" si="6"/>
        <v>5.5518069648814858</v>
      </c>
    </row>
    <row r="26" spans="1:17">
      <c r="B26" t="s">
        <v>11</v>
      </c>
      <c r="C26">
        <v>98.593903638151417</v>
      </c>
      <c r="D26">
        <v>98.456243854473939</v>
      </c>
      <c r="E26">
        <v>98.436578171091426</v>
      </c>
      <c r="F26">
        <v>96.75516224188793</v>
      </c>
      <c r="G26">
        <v>95.152409046214359</v>
      </c>
      <c r="H26">
        <v>81.345772887308712</v>
      </c>
      <c r="K26" t="s">
        <v>11</v>
      </c>
      <c r="L26">
        <f t="shared" si="1"/>
        <v>0.18682399213372491</v>
      </c>
      <c r="M26">
        <f t="shared" si="2"/>
        <v>2.3500491642084711</v>
      </c>
      <c r="N26">
        <f t="shared" si="3"/>
        <v>2.2713864306784473</v>
      </c>
      <c r="O26">
        <f t="shared" si="4"/>
        <v>3.4314887383685857</v>
      </c>
      <c r="P26">
        <f t="shared" si="5"/>
        <v>5.7703786364934189</v>
      </c>
      <c r="Q26">
        <f t="shared" si="6"/>
        <v>1.2545091220512177</v>
      </c>
    </row>
    <row r="27" spans="1:17">
      <c r="B27" t="s">
        <v>12</v>
      </c>
      <c r="C27">
        <v>93.317606553689899</v>
      </c>
      <c r="D27">
        <v>92.820093599425604</v>
      </c>
      <c r="E27">
        <v>92.141598687416561</v>
      </c>
      <c r="F27">
        <v>90.823020383682675</v>
      </c>
      <c r="G27">
        <v>85.531250270331071</v>
      </c>
      <c r="H27">
        <v>65.196218537069242</v>
      </c>
      <c r="K27" t="s">
        <v>12</v>
      </c>
      <c r="L27">
        <f>AVERAGE(L17:L26)</f>
        <v>4.4247787610619579E-2</v>
      </c>
      <c r="M27">
        <f t="shared" ref="M27:Q27" si="7">AVERAGE(M17:M26)</f>
        <v>1.2045058059902503</v>
      </c>
      <c r="N27">
        <f t="shared" si="7"/>
        <v>1.5210656378227001</v>
      </c>
      <c r="O27">
        <f t="shared" si="7"/>
        <v>4.2255065643589802</v>
      </c>
      <c r="P27">
        <f t="shared" si="7"/>
        <v>7.3069000020184758</v>
      </c>
      <c r="Q27">
        <f t="shared" si="7"/>
        <v>4.3412255584679196</v>
      </c>
    </row>
    <row r="29" spans="1:17">
      <c r="B29" t="s">
        <v>13</v>
      </c>
      <c r="C29">
        <f>_xlfn.STDEV.P(C17:C26)</f>
        <v>2.9160332892639023</v>
      </c>
      <c r="D29">
        <f t="shared" ref="D29:H29" si="8">_xlfn.STDEV.P(D17:D26)</f>
        <v>3.4521675176140505</v>
      </c>
      <c r="E29">
        <f t="shared" si="8"/>
        <v>3.3984576546158616</v>
      </c>
      <c r="F29">
        <f t="shared" si="8"/>
        <v>3.1622846606347323</v>
      </c>
      <c r="G29">
        <f t="shared" si="8"/>
        <v>4.6182460772081049</v>
      </c>
      <c r="H29">
        <f t="shared" si="8"/>
        <v>6.4442686906104605</v>
      </c>
      <c r="K29" t="s">
        <v>13</v>
      </c>
      <c r="L29">
        <f>_xlfn.STDEV.P(L17:L26)</f>
        <v>0.54811588964715385</v>
      </c>
      <c r="M29">
        <f t="shared" ref="M29:Q29" si="9">_xlfn.STDEV.P(M17:M26)</f>
        <v>0.65823008233920632</v>
      </c>
      <c r="N29">
        <f t="shared" si="9"/>
        <v>0.82411600908098015</v>
      </c>
      <c r="O29">
        <f t="shared" si="9"/>
        <v>1.7451618702100455</v>
      </c>
      <c r="P29">
        <f t="shared" si="9"/>
        <v>2.0129790504218277</v>
      </c>
      <c r="Q29">
        <f t="shared" si="9"/>
        <v>2.0486504262407239</v>
      </c>
    </row>
    <row r="30" spans="1:17">
      <c r="K30" t="s">
        <v>19</v>
      </c>
      <c r="L30">
        <f t="shared" ref="L30:Q30" si="10">_xlfn.T.TEST(C17:C26,C2:C11,1,1)</f>
        <v>0.40703409690344056</v>
      </c>
      <c r="M30">
        <f t="shared" si="10"/>
        <v>1.9263284898494068E-4</v>
      </c>
      <c r="N30">
        <f t="shared" si="10"/>
        <v>1.8120480606161895E-4</v>
      </c>
      <c r="O30">
        <f t="shared" si="10"/>
        <v>2.3726488822675127E-5</v>
      </c>
      <c r="P30">
        <f t="shared" si="10"/>
        <v>8.7633431331721483E-7</v>
      </c>
      <c r="Q30">
        <f t="shared" si="10"/>
        <v>6.5875393135895896E-5</v>
      </c>
    </row>
    <row r="31" spans="1:17" ht="15" thickBot="1"/>
    <row r="32" spans="1:17" ht="15" thickBot="1">
      <c r="A32" s="1" t="s">
        <v>16</v>
      </c>
      <c r="B32" s="2" t="s">
        <v>1</v>
      </c>
      <c r="C32" s="3">
        <v>1</v>
      </c>
      <c r="D32" s="3">
        <v>0.75</v>
      </c>
      <c r="E32" s="3">
        <v>0.5</v>
      </c>
      <c r="F32" s="3">
        <v>0.3</v>
      </c>
      <c r="G32" s="3">
        <v>0.2</v>
      </c>
      <c r="H32" s="3">
        <v>0.1</v>
      </c>
      <c r="J32" s="1" t="s">
        <v>16</v>
      </c>
      <c r="K32" s="2" t="s">
        <v>1</v>
      </c>
      <c r="L32" s="3">
        <v>1</v>
      </c>
      <c r="M32" s="3">
        <v>0.75</v>
      </c>
      <c r="N32" s="3">
        <v>0.5</v>
      </c>
      <c r="O32" s="3">
        <v>0.3</v>
      </c>
      <c r="P32" s="3">
        <v>0.2</v>
      </c>
      <c r="Q32" s="3">
        <v>0.1</v>
      </c>
    </row>
    <row r="33" spans="1:17">
      <c r="B33" t="s">
        <v>2</v>
      </c>
      <c r="C33">
        <v>90.216322517207459</v>
      </c>
      <c r="D33">
        <v>90.108161258603744</v>
      </c>
      <c r="E33">
        <v>90.766961651917384</v>
      </c>
      <c r="F33">
        <v>89.626698039487067</v>
      </c>
      <c r="G33">
        <v>86.779672257833838</v>
      </c>
      <c r="H33">
        <v>62.564583892017517</v>
      </c>
      <c r="K33" t="s">
        <v>2</v>
      </c>
      <c r="L33">
        <f t="shared" ref="L33:L43" si="11">C33-C2</f>
        <v>-0.83579154375615872</v>
      </c>
      <c r="M33">
        <f t="shared" ref="M33:M43" si="12">D33-D2</f>
        <v>-0.48180924287117932</v>
      </c>
      <c r="N33">
        <f t="shared" ref="N33:N43" si="13">E33-E2</f>
        <v>1.5535889872172817</v>
      </c>
      <c r="O33">
        <f t="shared" ref="O33:O43" si="14">F33-F2</f>
        <v>3.5007223245875707</v>
      </c>
      <c r="P33">
        <f t="shared" ref="P33:P43" si="15">G33-G2</f>
        <v>8.3984290521544267</v>
      </c>
      <c r="Q33">
        <f t="shared" ref="Q33:Q43" si="16">H33-H2</f>
        <v>3.4549318477380098</v>
      </c>
    </row>
    <row r="34" spans="1:17">
      <c r="B34" t="s">
        <v>3</v>
      </c>
      <c r="C34">
        <v>93.372664700098326</v>
      </c>
      <c r="D34">
        <v>93.588987217305814</v>
      </c>
      <c r="E34">
        <v>93.166175024582103</v>
      </c>
      <c r="F34">
        <v>91.858407079646028</v>
      </c>
      <c r="G34">
        <v>89.196417500728103</v>
      </c>
      <c r="H34">
        <v>57.836630651360878</v>
      </c>
      <c r="K34" t="s">
        <v>3</v>
      </c>
      <c r="L34">
        <f t="shared" si="11"/>
        <v>-0.21632251720748741</v>
      </c>
      <c r="M34">
        <f t="shared" si="12"/>
        <v>0.92428711897738935</v>
      </c>
      <c r="N34">
        <f t="shared" si="13"/>
        <v>1.6814159292035242</v>
      </c>
      <c r="O34">
        <f t="shared" si="14"/>
        <v>4.8081442457691708</v>
      </c>
      <c r="P34">
        <f t="shared" si="15"/>
        <v>11.872421041704527</v>
      </c>
      <c r="Q34">
        <f t="shared" si="16"/>
        <v>6.6325256562196273</v>
      </c>
    </row>
    <row r="35" spans="1:17">
      <c r="B35" t="s">
        <v>4</v>
      </c>
      <c r="C35">
        <v>95.703048180924284</v>
      </c>
      <c r="D35">
        <v>96.588003933136676</v>
      </c>
      <c r="E35">
        <v>96.135693215339231</v>
      </c>
      <c r="F35">
        <v>94.257620452310718</v>
      </c>
      <c r="G35">
        <v>92.664700098328424</v>
      </c>
      <c r="H35">
        <v>67.794646435811146</v>
      </c>
      <c r="K35" t="s">
        <v>4</v>
      </c>
      <c r="L35">
        <f t="shared" si="11"/>
        <v>-2.9498525073734072E-2</v>
      </c>
      <c r="M35">
        <f t="shared" si="12"/>
        <v>1.01278269419862</v>
      </c>
      <c r="N35">
        <f t="shared" si="13"/>
        <v>1.3470993117010721</v>
      </c>
      <c r="O35">
        <f t="shared" si="14"/>
        <v>3.3529990167158275</v>
      </c>
      <c r="P35">
        <f t="shared" si="15"/>
        <v>8.0193888643788966</v>
      </c>
      <c r="Q35">
        <f t="shared" si="16"/>
        <v>1.4619791982052845</v>
      </c>
    </row>
    <row r="36" spans="1:17">
      <c r="B36" t="s">
        <v>5</v>
      </c>
      <c r="C36">
        <v>93.874139626352019</v>
      </c>
      <c r="D36">
        <v>94.110127826941991</v>
      </c>
      <c r="E36">
        <v>93.077679449360858</v>
      </c>
      <c r="F36">
        <v>91.701081612586037</v>
      </c>
      <c r="G36">
        <v>90.720046597865618</v>
      </c>
      <c r="H36">
        <v>64.863508046494047</v>
      </c>
      <c r="K36" t="s">
        <v>5</v>
      </c>
      <c r="L36">
        <f t="shared" si="11"/>
        <v>-1.1996066863323449</v>
      </c>
      <c r="M36">
        <f t="shared" si="12"/>
        <v>-0.13765978367749199</v>
      </c>
      <c r="N36">
        <f t="shared" si="13"/>
        <v>-0.62930186823992074</v>
      </c>
      <c r="O36">
        <f t="shared" si="14"/>
        <v>1.5928626833565431</v>
      </c>
      <c r="P36">
        <f t="shared" si="15"/>
        <v>10.465517291095381</v>
      </c>
      <c r="Q36">
        <f t="shared" si="16"/>
        <v>6.7303927081260682</v>
      </c>
    </row>
    <row r="37" spans="1:17">
      <c r="B37" t="s">
        <v>6</v>
      </c>
      <c r="C37">
        <v>92.163225172074746</v>
      </c>
      <c r="D37">
        <v>89.144715784738636</v>
      </c>
      <c r="E37">
        <v>89.469026548672559</v>
      </c>
      <c r="F37">
        <v>88.003990807302259</v>
      </c>
      <c r="G37">
        <v>85.774934615928075</v>
      </c>
      <c r="H37">
        <v>64.152140877804584</v>
      </c>
      <c r="K37" t="s">
        <v>6</v>
      </c>
      <c r="L37">
        <f t="shared" si="11"/>
        <v>0.46214355948870889</v>
      </c>
      <c r="M37">
        <f t="shared" si="12"/>
        <v>1.3571051652696156</v>
      </c>
      <c r="N37">
        <f t="shared" si="13"/>
        <v>2.7825788573718881</v>
      </c>
      <c r="O37">
        <f t="shared" si="14"/>
        <v>4.6342384738045723</v>
      </c>
      <c r="P37">
        <f t="shared" si="15"/>
        <v>11.330836195238163</v>
      </c>
      <c r="Q37">
        <f t="shared" si="16"/>
        <v>7.4852723639477645</v>
      </c>
    </row>
    <row r="38" spans="1:17">
      <c r="B38" t="s">
        <v>7</v>
      </c>
      <c r="C38">
        <v>95.663716814159287</v>
      </c>
      <c r="D38">
        <v>94.86731430779389</v>
      </c>
      <c r="E38">
        <v>93.75620319668279</v>
      </c>
      <c r="F38">
        <v>91.897853787662527</v>
      </c>
      <c r="G38">
        <v>85.621069386413367</v>
      </c>
      <c r="H38">
        <v>71.198309097252874</v>
      </c>
      <c r="K38" t="s">
        <v>7</v>
      </c>
      <c r="L38">
        <f t="shared" si="11"/>
        <v>0.76696165191739851</v>
      </c>
      <c r="M38">
        <f t="shared" si="12"/>
        <v>1.5729086468452778</v>
      </c>
      <c r="N38">
        <f t="shared" si="13"/>
        <v>1.5729086468452778</v>
      </c>
      <c r="O38">
        <f t="shared" si="14"/>
        <v>4.549952854263438</v>
      </c>
      <c r="P38">
        <f t="shared" si="15"/>
        <v>9.8109556887746976</v>
      </c>
      <c r="Q38">
        <f t="shared" si="16"/>
        <v>6.1600302194079148</v>
      </c>
    </row>
    <row r="39" spans="1:17">
      <c r="B39" t="s">
        <v>8</v>
      </c>
      <c r="C39">
        <v>92.595870206489678</v>
      </c>
      <c r="D39">
        <v>90.875122910521142</v>
      </c>
      <c r="E39">
        <v>91.140667306810613</v>
      </c>
      <c r="F39">
        <v>89.705014749262546</v>
      </c>
      <c r="G39">
        <v>86.485436725231182</v>
      </c>
      <c r="H39">
        <v>65.09690106892505</v>
      </c>
      <c r="K39" t="s">
        <v>8</v>
      </c>
      <c r="L39">
        <f t="shared" si="11"/>
        <v>0.76690398129164805</v>
      </c>
      <c r="M39">
        <f t="shared" si="12"/>
        <v>1.7305224670340351</v>
      </c>
      <c r="N39">
        <f t="shared" si="13"/>
        <v>2.4090462143559535</v>
      </c>
      <c r="O39">
        <f t="shared" si="14"/>
        <v>4.3938384703443347</v>
      </c>
      <c r="P39">
        <f t="shared" si="15"/>
        <v>7.638647393143529</v>
      </c>
      <c r="Q39">
        <f t="shared" si="16"/>
        <v>3.8228992753685844</v>
      </c>
    </row>
    <row r="40" spans="1:17">
      <c r="B40" t="s">
        <v>9</v>
      </c>
      <c r="C40">
        <v>92.586037364798429</v>
      </c>
      <c r="D40">
        <v>92.694198623402158</v>
      </c>
      <c r="E40">
        <v>92.458210422812201</v>
      </c>
      <c r="F40">
        <v>88.751402117088674</v>
      </c>
      <c r="G40">
        <v>85.704201593439393</v>
      </c>
      <c r="H40">
        <v>57.565636380937555</v>
      </c>
      <c r="K40" t="s">
        <v>9</v>
      </c>
      <c r="L40">
        <f t="shared" si="11"/>
        <v>-8.8495575221230638E-2</v>
      </c>
      <c r="M40">
        <f t="shared" si="12"/>
        <v>0.93411996066862457</v>
      </c>
      <c r="N40">
        <f t="shared" si="13"/>
        <v>2.3107177974434734</v>
      </c>
      <c r="O40">
        <f t="shared" si="14"/>
        <v>7.4222960406231806</v>
      </c>
      <c r="P40">
        <f t="shared" si="15"/>
        <v>16.147544528931917</v>
      </c>
      <c r="Q40">
        <f t="shared" si="16"/>
        <v>8.1021462123374732</v>
      </c>
    </row>
    <row r="41" spans="1:17">
      <c r="B41" t="s">
        <v>10</v>
      </c>
      <c r="C41">
        <v>88.997050147492629</v>
      </c>
      <c r="D41">
        <v>86.814159292035399</v>
      </c>
      <c r="E41">
        <v>84.601769911504405</v>
      </c>
      <c r="F41">
        <v>85.06414415349613</v>
      </c>
      <c r="G41">
        <v>81.525243874658656</v>
      </c>
      <c r="H41">
        <v>67.558139199589377</v>
      </c>
      <c r="K41" t="s">
        <v>10</v>
      </c>
      <c r="L41">
        <f t="shared" si="11"/>
        <v>1.2192723697148438</v>
      </c>
      <c r="M41">
        <f t="shared" si="12"/>
        <v>1.8288508839465152</v>
      </c>
      <c r="N41">
        <f t="shared" si="13"/>
        <v>1.5041940962580185</v>
      </c>
      <c r="O41">
        <f t="shared" si="14"/>
        <v>3.9596939996597342</v>
      </c>
      <c r="P41">
        <f t="shared" si="15"/>
        <v>7.9265103216002473</v>
      </c>
      <c r="Q41">
        <f t="shared" si="16"/>
        <v>6.3216521480866348</v>
      </c>
    </row>
    <row r="42" spans="1:17">
      <c r="B42" t="s">
        <v>11</v>
      </c>
      <c r="C42">
        <v>99.026548672566378</v>
      </c>
      <c r="D42">
        <v>98.554572271386448</v>
      </c>
      <c r="E42">
        <v>98.141592920353972</v>
      </c>
      <c r="F42">
        <v>96.283243511333737</v>
      </c>
      <c r="G42">
        <v>95.517319930679903</v>
      </c>
      <c r="H42">
        <v>83.337975818706624</v>
      </c>
      <c r="K42" t="s">
        <v>11</v>
      </c>
      <c r="L42">
        <f t="shared" si="11"/>
        <v>0.61946902654868552</v>
      </c>
      <c r="M42">
        <f t="shared" si="12"/>
        <v>2.4483775811209796</v>
      </c>
      <c r="N42">
        <f t="shared" si="13"/>
        <v>1.9764011799409928</v>
      </c>
      <c r="O42">
        <f t="shared" si="14"/>
        <v>2.9595700078143921</v>
      </c>
      <c r="P42">
        <f t="shared" si="15"/>
        <v>6.1352895209589633</v>
      </c>
      <c r="Q42">
        <f t="shared" si="16"/>
        <v>3.2467120534491301</v>
      </c>
    </row>
    <row r="43" spans="1:17">
      <c r="B43" t="s">
        <v>12</v>
      </c>
      <c r="C43">
        <v>93.419862340216326</v>
      </c>
      <c r="D43">
        <v>92.73453634258658</v>
      </c>
      <c r="E43">
        <v>92.271397964803626</v>
      </c>
      <c r="F43">
        <v>90.714945631017571</v>
      </c>
      <c r="G43">
        <v>87.99890425811067</v>
      </c>
      <c r="H43">
        <v>66.196847146889951</v>
      </c>
      <c r="K43" t="s">
        <v>12</v>
      </c>
      <c r="L43">
        <f t="shared" si="11"/>
        <v>0.14650357413702864</v>
      </c>
      <c r="M43">
        <f t="shared" si="12"/>
        <v>1.118948549151213</v>
      </c>
      <c r="N43">
        <f t="shared" si="13"/>
        <v>1.6508649152097661</v>
      </c>
      <c r="O43">
        <f t="shared" si="14"/>
        <v>4.1174318116938764</v>
      </c>
      <c r="P43">
        <f t="shared" si="15"/>
        <v>9.7745539897980933</v>
      </c>
      <c r="Q43">
        <f t="shared" si="16"/>
        <v>5.3418541682886413</v>
      </c>
    </row>
    <row r="45" spans="1:17">
      <c r="B45" t="s">
        <v>13</v>
      </c>
      <c r="C45">
        <f>_xlfn.STDEV.P(C33:C42)</f>
        <v>2.7325564362126826</v>
      </c>
      <c r="D45">
        <f t="shared" ref="D45:H45" si="17">_xlfn.STDEV.P(D33:D42)</f>
        <v>3.3791667367103355</v>
      </c>
      <c r="E45">
        <f t="shared" si="17"/>
        <v>3.5114183510366326</v>
      </c>
      <c r="F45">
        <f t="shared" si="17"/>
        <v>3.0426354673396068</v>
      </c>
      <c r="G45">
        <f t="shared" si="17"/>
        <v>3.8559832470732225</v>
      </c>
      <c r="H45">
        <f t="shared" si="17"/>
        <v>6.9856413174035268</v>
      </c>
      <c r="K45" t="s">
        <v>13</v>
      </c>
      <c r="L45">
        <f>_xlfn.STDEV.P(L33:L42)</f>
        <v>0.72379440060265265</v>
      </c>
      <c r="M45">
        <f t="shared" ref="M45:Q45" si="18">_xlfn.STDEV.P(M33:M42)</f>
        <v>0.84456969850074259</v>
      </c>
      <c r="N45">
        <f t="shared" si="18"/>
        <v>0.87900026148237576</v>
      </c>
      <c r="O45">
        <f t="shared" si="18"/>
        <v>1.4364344052188265</v>
      </c>
      <c r="P45">
        <f t="shared" si="18"/>
        <v>2.7223658272650892</v>
      </c>
      <c r="Q45">
        <f t="shared" si="18"/>
        <v>2.06754666461259</v>
      </c>
    </row>
    <row r="46" spans="1:17">
      <c r="K46" t="s">
        <v>19</v>
      </c>
      <c r="L46">
        <f t="shared" ref="L46:Q46" si="19">_xlfn.T.TEST(C33:C42,C2:C11,1,1)</f>
        <v>0.27935202081201832</v>
      </c>
      <c r="M46">
        <f t="shared" si="19"/>
        <v>1.6159836896576284E-3</v>
      </c>
      <c r="N46">
        <f t="shared" si="19"/>
        <v>1.5995920309802523E-4</v>
      </c>
      <c r="O46">
        <f t="shared" si="19"/>
        <v>6.1867716383292201E-6</v>
      </c>
      <c r="P46">
        <f t="shared" si="19"/>
        <v>9.6070984751128815E-7</v>
      </c>
      <c r="Q46">
        <f t="shared" si="19"/>
        <v>1.4235233872042165E-5</v>
      </c>
    </row>
    <row r="47" spans="1:17" ht="15" thickBot="1"/>
    <row r="48" spans="1:17" ht="15" thickBot="1">
      <c r="A48" s="1" t="s">
        <v>17</v>
      </c>
      <c r="B48" s="2" t="s">
        <v>1</v>
      </c>
      <c r="C48" s="3">
        <v>1</v>
      </c>
      <c r="D48" s="3">
        <v>0.75</v>
      </c>
      <c r="E48" s="3">
        <v>0.5</v>
      </c>
      <c r="F48" s="3">
        <v>0.3</v>
      </c>
      <c r="G48" s="3">
        <v>0.2</v>
      </c>
      <c r="H48" s="3">
        <v>0.1</v>
      </c>
      <c r="J48" s="1" t="s">
        <v>17</v>
      </c>
      <c r="K48" s="2" t="s">
        <v>1</v>
      </c>
      <c r="L48" s="3">
        <v>1</v>
      </c>
      <c r="M48" s="3">
        <v>0.75</v>
      </c>
      <c r="N48" s="3">
        <v>0.5</v>
      </c>
      <c r="O48" s="3">
        <v>0.3</v>
      </c>
      <c r="P48" s="3">
        <v>0.2</v>
      </c>
      <c r="Q48" s="3">
        <v>0.1</v>
      </c>
    </row>
    <row r="49" spans="1:17">
      <c r="B49" t="s">
        <v>2</v>
      </c>
      <c r="C49">
        <v>91.28810226155359</v>
      </c>
      <c r="D49">
        <v>90.80629301868241</v>
      </c>
      <c r="E49">
        <v>90.432702705040697</v>
      </c>
      <c r="F49">
        <v>88.967551622418867</v>
      </c>
      <c r="G49">
        <v>84.023218193929026</v>
      </c>
      <c r="H49">
        <v>61.508000357557876</v>
      </c>
      <c r="K49" t="s">
        <v>2</v>
      </c>
      <c r="L49">
        <f t="shared" ref="L49:L59" si="20">C49-C2</f>
        <v>0.23598820058997205</v>
      </c>
      <c r="M49">
        <f t="shared" ref="M49:M59" si="21">D49-D2</f>
        <v>0.21632251720748741</v>
      </c>
      <c r="N49">
        <f t="shared" ref="N49:N59" si="22">E49-E2</f>
        <v>1.2193300403405942</v>
      </c>
      <c r="O49">
        <f t="shared" ref="O49:O59" si="23">F49-F2</f>
        <v>2.8415759075193705</v>
      </c>
      <c r="P49">
        <f t="shared" ref="P49:P59" si="24">G49-G2</f>
        <v>5.6419749882496149</v>
      </c>
      <c r="Q49">
        <f t="shared" ref="Q49:Q59" si="25">H49-H2</f>
        <v>2.3983483132783689</v>
      </c>
    </row>
    <row r="50" spans="1:17">
      <c r="B50" t="s">
        <v>3</v>
      </c>
      <c r="C50">
        <v>93.126843657817119</v>
      </c>
      <c r="D50">
        <v>92.330383480825958</v>
      </c>
      <c r="E50">
        <v>92.881022615535883</v>
      </c>
      <c r="F50">
        <v>90.137659783677478</v>
      </c>
      <c r="G50">
        <v>86.461157391788277</v>
      </c>
      <c r="H50">
        <v>54.31589661963627</v>
      </c>
      <c r="K50" t="s">
        <v>3</v>
      </c>
      <c r="L50">
        <f t="shared" si="20"/>
        <v>-0.46214355948869468</v>
      </c>
      <c r="M50">
        <f t="shared" si="21"/>
        <v>-0.33431661750246633</v>
      </c>
      <c r="N50">
        <f t="shared" si="22"/>
        <v>1.396263520157305</v>
      </c>
      <c r="O50">
        <f t="shared" si="23"/>
        <v>3.0873969498006204</v>
      </c>
      <c r="P50">
        <f t="shared" si="24"/>
        <v>9.1371609327647008</v>
      </c>
      <c r="Q50">
        <f t="shared" si="25"/>
        <v>3.1117916244950194</v>
      </c>
    </row>
    <row r="51" spans="1:17">
      <c r="B51" t="s">
        <v>4</v>
      </c>
      <c r="C51">
        <v>95.830875122910527</v>
      </c>
      <c r="D51">
        <v>96.509341199606681</v>
      </c>
      <c r="E51">
        <v>95.929203539823007</v>
      </c>
      <c r="F51">
        <v>93.264503441494597</v>
      </c>
      <c r="G51">
        <v>87.926077791907076</v>
      </c>
      <c r="H51">
        <v>65.120171166417251</v>
      </c>
      <c r="K51" t="s">
        <v>4</v>
      </c>
      <c r="L51">
        <f t="shared" si="20"/>
        <v>9.8328416912508487E-2</v>
      </c>
      <c r="M51">
        <f t="shared" si="21"/>
        <v>0.93411996066862457</v>
      </c>
      <c r="N51">
        <f t="shared" si="22"/>
        <v>1.1406096361848483</v>
      </c>
      <c r="O51">
        <f t="shared" si="23"/>
        <v>2.3598820058997063</v>
      </c>
      <c r="P51">
        <f t="shared" si="24"/>
        <v>3.2807665579575485</v>
      </c>
      <c r="Q51">
        <f t="shared" si="25"/>
        <v>-1.2124960711886104</v>
      </c>
    </row>
    <row r="52" spans="1:17">
      <c r="B52" t="s">
        <v>5</v>
      </c>
      <c r="C52">
        <v>94.277286135693203</v>
      </c>
      <c r="D52">
        <v>92.477876106194685</v>
      </c>
      <c r="E52">
        <v>93.706981317600778</v>
      </c>
      <c r="F52">
        <v>91.307767944936074</v>
      </c>
      <c r="G52">
        <v>88.536579036150826</v>
      </c>
      <c r="H52">
        <v>63.014789631974885</v>
      </c>
      <c r="K52" t="s">
        <v>5</v>
      </c>
      <c r="L52">
        <f t="shared" si="20"/>
        <v>-0.79646017699116101</v>
      </c>
      <c r="M52">
        <f t="shared" si="21"/>
        <v>-1.7699115044247975</v>
      </c>
      <c r="N52">
        <f t="shared" si="22"/>
        <v>0</v>
      </c>
      <c r="O52">
        <f t="shared" si="23"/>
        <v>1.1995490157065802</v>
      </c>
      <c r="P52">
        <f t="shared" si="24"/>
        <v>8.2820497293805886</v>
      </c>
      <c r="Q52">
        <f t="shared" si="25"/>
        <v>4.8816742936069062</v>
      </c>
    </row>
    <row r="53" spans="1:17">
      <c r="B53" t="s">
        <v>6</v>
      </c>
      <c r="C53">
        <v>92.281219272369711</v>
      </c>
      <c r="D53">
        <v>90.078662733529995</v>
      </c>
      <c r="E53">
        <v>89.587020648967552</v>
      </c>
      <c r="F53">
        <v>86.401352952880202</v>
      </c>
      <c r="G53">
        <v>83.01121405317808</v>
      </c>
      <c r="H53">
        <v>58.968243669927936</v>
      </c>
      <c r="K53" t="s">
        <v>6</v>
      </c>
      <c r="L53">
        <f t="shared" si="20"/>
        <v>0.5801376597836736</v>
      </c>
      <c r="M53">
        <f t="shared" si="21"/>
        <v>2.2910521140609745</v>
      </c>
      <c r="N53">
        <f t="shared" si="22"/>
        <v>2.9005729576668813</v>
      </c>
      <c r="O53">
        <f t="shared" si="23"/>
        <v>3.031600619382516</v>
      </c>
      <c r="P53">
        <f t="shared" si="24"/>
        <v>8.5671156324881679</v>
      </c>
      <c r="Q53">
        <f t="shared" si="25"/>
        <v>2.3013751560711171</v>
      </c>
    </row>
    <row r="54" spans="1:17">
      <c r="B54" t="s">
        <v>7</v>
      </c>
      <c r="C54">
        <v>95.545722713864293</v>
      </c>
      <c r="D54">
        <v>94.749550890001942</v>
      </c>
      <c r="E54">
        <v>94.070796460176993</v>
      </c>
      <c r="F54">
        <v>89.073088867550766</v>
      </c>
      <c r="G54">
        <v>85.448836062595703</v>
      </c>
      <c r="H54">
        <v>67.786313030389536</v>
      </c>
      <c r="K54" t="s">
        <v>7</v>
      </c>
      <c r="L54">
        <f t="shared" si="20"/>
        <v>0.64896755162240538</v>
      </c>
      <c r="M54">
        <f t="shared" si="21"/>
        <v>1.4551452290533291</v>
      </c>
      <c r="N54">
        <f t="shared" si="22"/>
        <v>1.8875019103394806</v>
      </c>
      <c r="O54">
        <f t="shared" si="23"/>
        <v>1.7251879341516769</v>
      </c>
      <c r="P54">
        <f t="shared" si="24"/>
        <v>9.6387223649570331</v>
      </c>
      <c r="Q54">
        <f t="shared" si="25"/>
        <v>2.7480341525445766</v>
      </c>
    </row>
    <row r="55" spans="1:17">
      <c r="B55" t="s">
        <v>8</v>
      </c>
      <c r="C55">
        <v>92.064896755162238</v>
      </c>
      <c r="D55">
        <v>91.563421828908574</v>
      </c>
      <c r="E55">
        <v>89.62635201573255</v>
      </c>
      <c r="F55">
        <v>87.552141454510846</v>
      </c>
      <c r="G55">
        <v>79.913321049490051</v>
      </c>
      <c r="H55">
        <v>61.599235287502495</v>
      </c>
      <c r="K55" t="s">
        <v>8</v>
      </c>
      <c r="L55">
        <f t="shared" si="20"/>
        <v>0.23593052996420738</v>
      </c>
      <c r="M55">
        <f t="shared" si="21"/>
        <v>2.4188213854214666</v>
      </c>
      <c r="N55">
        <f t="shared" si="22"/>
        <v>0.89473092327789061</v>
      </c>
      <c r="O55">
        <f t="shared" si="23"/>
        <v>2.2409651755926348</v>
      </c>
      <c r="P55">
        <f t="shared" si="24"/>
        <v>1.0665317174023983</v>
      </c>
      <c r="Q55">
        <f t="shared" si="25"/>
        <v>0.32523349394602974</v>
      </c>
    </row>
    <row r="56" spans="1:17">
      <c r="B56" t="s">
        <v>9</v>
      </c>
      <c r="C56">
        <v>92.861356932153399</v>
      </c>
      <c r="D56">
        <v>91.573254670599795</v>
      </c>
      <c r="E56">
        <v>91.848574237954764</v>
      </c>
      <c r="F56">
        <v>87.384464110127809</v>
      </c>
      <c r="G56">
        <v>81.678272880099883</v>
      </c>
      <c r="H56">
        <v>50.125721964146173</v>
      </c>
      <c r="K56" t="s">
        <v>9</v>
      </c>
      <c r="L56">
        <f t="shared" si="20"/>
        <v>0.18682399213373913</v>
      </c>
      <c r="M56">
        <f t="shared" si="21"/>
        <v>-0.18682399213373913</v>
      </c>
      <c r="N56">
        <f t="shared" si="22"/>
        <v>1.7010816125860373</v>
      </c>
      <c r="O56">
        <f t="shared" si="23"/>
        <v>6.0553580336623156</v>
      </c>
      <c r="P56">
        <f t="shared" si="24"/>
        <v>12.121615815592406</v>
      </c>
      <c r="Q56">
        <f t="shared" si="25"/>
        <v>0.66223179554609146</v>
      </c>
    </row>
    <row r="57" spans="1:17">
      <c r="B57" t="s">
        <v>10</v>
      </c>
      <c r="C57">
        <v>88.544739429695184</v>
      </c>
      <c r="D57">
        <v>86.273352999016723</v>
      </c>
      <c r="E57">
        <v>85.447567308829093</v>
      </c>
      <c r="F57">
        <v>82.58770981294532</v>
      </c>
      <c r="G57">
        <v>81.77066122255961</v>
      </c>
      <c r="H57">
        <v>63.977168199263552</v>
      </c>
      <c r="K57" t="s">
        <v>10</v>
      </c>
      <c r="L57">
        <f t="shared" si="20"/>
        <v>0.76696165191739851</v>
      </c>
      <c r="M57">
        <f t="shared" si="21"/>
        <v>1.2880445909278393</v>
      </c>
      <c r="N57">
        <f t="shared" si="22"/>
        <v>2.3499914935827064</v>
      </c>
      <c r="O57">
        <f t="shared" si="23"/>
        <v>1.4832596591089242</v>
      </c>
      <c r="P57">
        <f t="shared" si="24"/>
        <v>8.1719276695012013</v>
      </c>
      <c r="Q57">
        <f t="shared" si="25"/>
        <v>2.7406811477608102</v>
      </c>
    </row>
    <row r="58" spans="1:17">
      <c r="B58" t="s">
        <v>11</v>
      </c>
      <c r="C58">
        <v>98.416912487708942</v>
      </c>
      <c r="D58">
        <v>98.003933136676508</v>
      </c>
      <c r="E58">
        <v>97.16814159292035</v>
      </c>
      <c r="F58">
        <v>96.184857423795464</v>
      </c>
      <c r="G58">
        <v>92.313370646228194</v>
      </c>
      <c r="H58">
        <v>77.0242822169742</v>
      </c>
      <c r="K58" t="s">
        <v>11</v>
      </c>
      <c r="L58">
        <f t="shared" si="20"/>
        <v>9.8328416912494276E-3</v>
      </c>
      <c r="M58">
        <f t="shared" si="21"/>
        <v>1.8977384464110401</v>
      </c>
      <c r="N58">
        <f t="shared" si="22"/>
        <v>1.0029498525073706</v>
      </c>
      <c r="O58">
        <f t="shared" si="23"/>
        <v>2.8611839202761189</v>
      </c>
      <c r="P58">
        <f t="shared" si="24"/>
        <v>2.9313402365072534</v>
      </c>
      <c r="Q58">
        <f t="shared" si="25"/>
        <v>-3.0669815482832945</v>
      </c>
    </row>
    <row r="59" spans="1:17">
      <c r="B59" t="s">
        <v>12</v>
      </c>
      <c r="C59">
        <v>93.42379547689282</v>
      </c>
      <c r="D59">
        <v>92.43660700640433</v>
      </c>
      <c r="E59">
        <v>92.069836244258155</v>
      </c>
      <c r="F59">
        <v>89.286109741433748</v>
      </c>
      <c r="G59">
        <v>85.108270832792684</v>
      </c>
      <c r="H59">
        <v>62.343982214379025</v>
      </c>
      <c r="K59" t="s">
        <v>12</v>
      </c>
      <c r="L59">
        <f t="shared" si="20"/>
        <v>0.15043671081352272</v>
      </c>
      <c r="M59">
        <f t="shared" si="21"/>
        <v>0.82101921296896307</v>
      </c>
      <c r="N59">
        <f t="shared" si="22"/>
        <v>1.4493031946642958</v>
      </c>
      <c r="O59">
        <f t="shared" si="23"/>
        <v>2.6885959221100535</v>
      </c>
      <c r="P59">
        <f t="shared" si="24"/>
        <v>6.8839205644801069</v>
      </c>
      <c r="Q59">
        <f t="shared" si="25"/>
        <v>1.4889892357777157</v>
      </c>
    </row>
    <row r="61" spans="1:17">
      <c r="C61">
        <f>_xlfn.STDEV.P(C49:C58)</f>
        <v>2.6053646280300424</v>
      </c>
      <c r="D61">
        <f t="shared" ref="D61:H61" si="26">_xlfn.STDEV.P(D49:D58)</f>
        <v>3.1726382475158723</v>
      </c>
      <c r="E61">
        <f t="shared" si="26"/>
        <v>3.270292645393746</v>
      </c>
      <c r="F61">
        <f t="shared" si="26"/>
        <v>3.5804010670580966</v>
      </c>
      <c r="G61">
        <f t="shared" si="26"/>
        <v>3.5919367577637273</v>
      </c>
      <c r="H61">
        <f t="shared" si="26"/>
        <v>6.9450690655794363</v>
      </c>
      <c r="L61">
        <f>_xlfn.STDEV.P(L49:L58)</f>
        <v>0.46082363421894657</v>
      </c>
      <c r="M61">
        <f t="shared" ref="M61:Q61" si="27">_xlfn.STDEV.P(M49:M58)</f>
        <v>1.2623566053519149</v>
      </c>
      <c r="N61">
        <f t="shared" si="27"/>
        <v>0.77013556307329745</v>
      </c>
      <c r="O61">
        <f t="shared" si="27"/>
        <v>1.2873091455607719</v>
      </c>
      <c r="P61">
        <f t="shared" si="27"/>
        <v>3.3247015146960108</v>
      </c>
      <c r="Q61">
        <f t="shared" si="27"/>
        <v>2.2107776684986935</v>
      </c>
    </row>
    <row r="62" spans="1:17" ht="15" thickBot="1"/>
    <row r="63" spans="1:17" ht="15" thickBot="1">
      <c r="A63" s="1" t="s">
        <v>18</v>
      </c>
      <c r="B63" s="2" t="s">
        <v>1</v>
      </c>
      <c r="C63" s="3">
        <v>1</v>
      </c>
      <c r="D63" s="3">
        <v>0.75</v>
      </c>
      <c r="E63" s="3">
        <v>0.5</v>
      </c>
      <c r="F63" s="3">
        <v>0.3</v>
      </c>
      <c r="G63" s="3">
        <v>0.2</v>
      </c>
      <c r="H63" s="3">
        <v>0.1</v>
      </c>
      <c r="J63" s="1" t="s">
        <v>18</v>
      </c>
      <c r="K63" s="2" t="s">
        <v>1</v>
      </c>
      <c r="L63" s="3">
        <v>1</v>
      </c>
      <c r="M63" s="3">
        <v>0.75</v>
      </c>
      <c r="N63" s="3">
        <v>0.5</v>
      </c>
      <c r="O63" s="3">
        <v>0.3</v>
      </c>
      <c r="P63" s="3">
        <v>0.2</v>
      </c>
      <c r="Q63" s="3">
        <v>0.1</v>
      </c>
    </row>
    <row r="64" spans="1:17">
      <c r="B64" t="s">
        <v>2</v>
      </c>
      <c r="C64">
        <v>90.963618485742373</v>
      </c>
      <c r="D64">
        <v>90.3638151425762</v>
      </c>
      <c r="E64">
        <v>90.786627335299897</v>
      </c>
      <c r="F64">
        <v>89.311701081612568</v>
      </c>
      <c r="G64">
        <v>86.637975530353501</v>
      </c>
      <c r="H64">
        <v>61.544448193035116</v>
      </c>
      <c r="K64" t="s">
        <v>2</v>
      </c>
      <c r="L64">
        <f t="shared" ref="L64:L74" si="28">C64-C2</f>
        <v>-8.8495575221244849E-2</v>
      </c>
      <c r="M64">
        <f t="shared" ref="M64:M74" si="29">D64-D2</f>
        <v>-0.22615535889872262</v>
      </c>
      <c r="N64">
        <f t="shared" ref="N64:N74" si="30">E64-E2</f>
        <v>1.5732546705997947</v>
      </c>
      <c r="O64">
        <f t="shared" ref="O64:O74" si="31">F64-F2</f>
        <v>3.185725366713072</v>
      </c>
      <c r="P64">
        <f t="shared" ref="P64:P74" si="32">G64-G2</f>
        <v>8.2567323246740898</v>
      </c>
      <c r="Q64">
        <f t="shared" ref="Q64:Q74" si="33">H64-H2</f>
        <v>2.4347961487556091</v>
      </c>
    </row>
    <row r="65" spans="2:17">
      <c r="B65" t="s">
        <v>3</v>
      </c>
      <c r="C65">
        <v>93.726647000983291</v>
      </c>
      <c r="D65">
        <v>94.001966568338261</v>
      </c>
      <c r="E65">
        <v>93.362831858407091</v>
      </c>
      <c r="F65">
        <v>92.989183874139613</v>
      </c>
      <c r="G65">
        <v>87.492625368731566</v>
      </c>
      <c r="H65">
        <v>59.919174618004185</v>
      </c>
      <c r="K65" t="s">
        <v>3</v>
      </c>
      <c r="L65">
        <f t="shared" si="28"/>
        <v>0.13765978367747778</v>
      </c>
      <c r="M65">
        <f t="shared" si="29"/>
        <v>1.3372664700098369</v>
      </c>
      <c r="N65">
        <f t="shared" si="30"/>
        <v>1.8780727630285128</v>
      </c>
      <c r="O65">
        <f t="shared" si="31"/>
        <v>5.9389210402627555</v>
      </c>
      <c r="P65">
        <f t="shared" si="32"/>
        <v>10.168628909707991</v>
      </c>
      <c r="Q65">
        <f t="shared" si="33"/>
        <v>8.7150696228629343</v>
      </c>
    </row>
    <row r="66" spans="2:17">
      <c r="B66" t="s">
        <v>4</v>
      </c>
      <c r="C66">
        <v>95.722713864306797</v>
      </c>
      <c r="D66">
        <v>96.627335299901674</v>
      </c>
      <c r="E66">
        <v>95.978367748279254</v>
      </c>
      <c r="F66">
        <v>94.031465093411995</v>
      </c>
      <c r="G66">
        <v>91.180056344201361</v>
      </c>
      <c r="H66">
        <v>68.159441979025203</v>
      </c>
      <c r="K66" t="s">
        <v>4</v>
      </c>
      <c r="L66">
        <f t="shared" si="28"/>
        <v>-9.8328416912210059E-3</v>
      </c>
      <c r="M66">
        <f t="shared" si="29"/>
        <v>1.0521140609636177</v>
      </c>
      <c r="N66">
        <f t="shared" si="30"/>
        <v>1.1897738446410955</v>
      </c>
      <c r="O66">
        <f t="shared" si="31"/>
        <v>3.1268436578171048</v>
      </c>
      <c r="P66">
        <f t="shared" si="32"/>
        <v>6.5347451102518335</v>
      </c>
      <c r="Q66">
        <f t="shared" si="33"/>
        <v>1.8267747414193423</v>
      </c>
    </row>
    <row r="67" spans="2:17">
      <c r="B67" t="s">
        <v>5</v>
      </c>
      <c r="C67">
        <v>94.650934119960667</v>
      </c>
      <c r="D67">
        <v>93.992133726647012</v>
      </c>
      <c r="E67">
        <v>93.136676499508368</v>
      </c>
      <c r="F67">
        <v>92.409046214355953</v>
      </c>
      <c r="G67">
        <v>90.639596074937216</v>
      </c>
      <c r="H67">
        <v>66.014354218750441</v>
      </c>
      <c r="K67" t="s">
        <v>5</v>
      </c>
      <c r="L67">
        <f t="shared" si="28"/>
        <v>-0.42281219272369697</v>
      </c>
      <c r="M67">
        <f t="shared" si="29"/>
        <v>-0.25565388397247091</v>
      </c>
      <c r="N67">
        <f t="shared" si="30"/>
        <v>-0.57030481809240996</v>
      </c>
      <c r="O67">
        <f t="shared" si="31"/>
        <v>2.3008272851264593</v>
      </c>
      <c r="P67">
        <f t="shared" si="32"/>
        <v>10.385066768166979</v>
      </c>
      <c r="Q67">
        <f t="shared" si="33"/>
        <v>7.8812388803824618</v>
      </c>
    </row>
    <row r="68" spans="2:17">
      <c r="B68" t="s">
        <v>6</v>
      </c>
      <c r="C68">
        <v>91.986234021632256</v>
      </c>
      <c r="D68">
        <v>89.872230728639508</v>
      </c>
      <c r="E68">
        <v>89.134709931170107</v>
      </c>
      <c r="F68">
        <v>86.77863418657023</v>
      </c>
      <c r="G68">
        <v>84.141356470788381</v>
      </c>
      <c r="H68">
        <v>62.721332652819946</v>
      </c>
      <c r="K68" t="s">
        <v>6</v>
      </c>
      <c r="L68">
        <f t="shared" si="28"/>
        <v>0.28515240904621919</v>
      </c>
      <c r="M68">
        <f t="shared" si="29"/>
        <v>2.084620109170487</v>
      </c>
      <c r="N68">
        <f t="shared" si="30"/>
        <v>2.448262239869436</v>
      </c>
      <c r="O68">
        <f t="shared" si="31"/>
        <v>3.4088818530725433</v>
      </c>
      <c r="P68">
        <f t="shared" si="32"/>
        <v>9.6972580500984691</v>
      </c>
      <c r="Q68">
        <f t="shared" si="33"/>
        <v>6.0544641389631266</v>
      </c>
    </row>
    <row r="69" spans="2:17">
      <c r="B69" t="s">
        <v>7</v>
      </c>
      <c r="C69">
        <v>95.270403146509352</v>
      </c>
      <c r="D69">
        <v>94.090577484810993</v>
      </c>
      <c r="E69">
        <v>93.530105508409818</v>
      </c>
      <c r="F69">
        <v>92.340273993142958</v>
      </c>
      <c r="G69">
        <v>85.991949180644568</v>
      </c>
      <c r="H69">
        <v>69.898355522106598</v>
      </c>
      <c r="K69" t="s">
        <v>7</v>
      </c>
      <c r="L69">
        <f t="shared" si="28"/>
        <v>0.37364798426746404</v>
      </c>
      <c r="M69">
        <f t="shared" si="29"/>
        <v>0.79617182386238028</v>
      </c>
      <c r="N69">
        <f t="shared" si="30"/>
        <v>1.3468109585723056</v>
      </c>
      <c r="O69">
        <f t="shared" si="31"/>
        <v>4.9923730597438691</v>
      </c>
      <c r="P69">
        <f t="shared" si="32"/>
        <v>10.181835483005898</v>
      </c>
      <c r="Q69">
        <f t="shared" si="33"/>
        <v>4.860076644261639</v>
      </c>
    </row>
    <row r="70" spans="2:17">
      <c r="B70" t="s">
        <v>8</v>
      </c>
      <c r="C70">
        <v>92.38938053097344</v>
      </c>
      <c r="D70">
        <v>91.327433628318587</v>
      </c>
      <c r="E70">
        <v>90.914454277286112</v>
      </c>
      <c r="F70">
        <v>90.36393048382773</v>
      </c>
      <c r="G70">
        <v>85.882692180151494</v>
      </c>
      <c r="H70">
        <v>66.463781405260136</v>
      </c>
      <c r="K70" t="s">
        <v>8</v>
      </c>
      <c r="L70">
        <f t="shared" si="28"/>
        <v>0.56041430577541007</v>
      </c>
      <c r="M70">
        <f t="shared" si="29"/>
        <v>2.1828331848314804</v>
      </c>
      <c r="N70">
        <f t="shared" si="30"/>
        <v>2.1828331848314519</v>
      </c>
      <c r="O70">
        <f t="shared" si="31"/>
        <v>5.0527542049095189</v>
      </c>
      <c r="P70">
        <f t="shared" si="32"/>
        <v>7.0359028480638415</v>
      </c>
      <c r="Q70">
        <f t="shared" si="33"/>
        <v>5.1897796117036705</v>
      </c>
    </row>
    <row r="71" spans="2:17">
      <c r="B71" t="s">
        <v>9</v>
      </c>
      <c r="C71">
        <v>93.333333333333329</v>
      </c>
      <c r="D71">
        <v>92.979351032448378</v>
      </c>
      <c r="E71">
        <v>91.622418879056042</v>
      </c>
      <c r="F71">
        <v>89.905247161884333</v>
      </c>
      <c r="G71">
        <v>82.87724518954893</v>
      </c>
      <c r="H71">
        <v>57.269497717684978</v>
      </c>
      <c r="K71" t="s">
        <v>9</v>
      </c>
      <c r="L71">
        <f t="shared" si="28"/>
        <v>0.65880039331366902</v>
      </c>
      <c r="M71">
        <f t="shared" si="29"/>
        <v>1.2192723697148438</v>
      </c>
      <c r="N71">
        <f t="shared" si="30"/>
        <v>1.4749262536873147</v>
      </c>
      <c r="O71">
        <f t="shared" si="31"/>
        <v>8.5761410854188398</v>
      </c>
      <c r="P71">
        <f t="shared" si="32"/>
        <v>13.320588125041454</v>
      </c>
      <c r="Q71">
        <f t="shared" si="33"/>
        <v>7.8060075490848959</v>
      </c>
    </row>
    <row r="72" spans="2:17">
      <c r="B72" t="s">
        <v>10</v>
      </c>
      <c r="C72">
        <v>88.485742379547688</v>
      </c>
      <c r="D72">
        <v>86.214355948869226</v>
      </c>
      <c r="E72">
        <v>86.98131760078661</v>
      </c>
      <c r="F72">
        <v>85.270403146509338</v>
      </c>
      <c r="G72">
        <v>82.923756549220442</v>
      </c>
      <c r="H72">
        <v>66.424478873808013</v>
      </c>
      <c r="K72" t="s">
        <v>10</v>
      </c>
      <c r="L72">
        <f t="shared" si="28"/>
        <v>0.70796460176990195</v>
      </c>
      <c r="M72">
        <f t="shared" si="29"/>
        <v>1.2290475407803427</v>
      </c>
      <c r="N72">
        <f t="shared" si="30"/>
        <v>3.8837417855402236</v>
      </c>
      <c r="O72">
        <f t="shared" si="31"/>
        <v>4.1659529926729419</v>
      </c>
      <c r="P72">
        <f t="shared" si="32"/>
        <v>9.3250229961620335</v>
      </c>
      <c r="Q72">
        <f t="shared" si="33"/>
        <v>5.1879918223052712</v>
      </c>
    </row>
    <row r="73" spans="2:17">
      <c r="B73" t="s">
        <v>11</v>
      </c>
      <c r="C73">
        <v>98.436578171091455</v>
      </c>
      <c r="D73">
        <v>97.669616519174042</v>
      </c>
      <c r="E73">
        <v>98.003933136676508</v>
      </c>
      <c r="F73">
        <v>96.676557178983671</v>
      </c>
      <c r="G73">
        <v>95.57522123893807</v>
      </c>
      <c r="H73">
        <v>82.238139314930649</v>
      </c>
      <c r="K73" t="s">
        <v>11</v>
      </c>
      <c r="L73">
        <f t="shared" si="28"/>
        <v>2.9498525073762494E-2</v>
      </c>
      <c r="M73">
        <f t="shared" si="29"/>
        <v>1.5634218289085737</v>
      </c>
      <c r="N73">
        <f t="shared" si="30"/>
        <v>1.8387413962635293</v>
      </c>
      <c r="O73">
        <f t="shared" si="31"/>
        <v>3.3528836754643265</v>
      </c>
      <c r="P73">
        <f t="shared" si="32"/>
        <v>6.19319082921713</v>
      </c>
      <c r="Q73">
        <f t="shared" si="33"/>
        <v>2.1468755496731546</v>
      </c>
    </row>
    <row r="74" spans="2:17">
      <c r="B74" t="s">
        <v>12</v>
      </c>
      <c r="C74">
        <v>93.496558505408061</v>
      </c>
      <c r="D74">
        <v>92.713881607972382</v>
      </c>
      <c r="E74">
        <v>92.345144277487989</v>
      </c>
      <c r="F74">
        <v>91.007644241443842</v>
      </c>
      <c r="G74">
        <v>87.334247412751552</v>
      </c>
      <c r="H74">
        <v>66.065300449542534</v>
      </c>
      <c r="K74" t="s">
        <v>12</v>
      </c>
      <c r="L74">
        <f t="shared" si="28"/>
        <v>0.2231997393287628</v>
      </c>
      <c r="M74">
        <f t="shared" si="29"/>
        <v>1.0982938145370156</v>
      </c>
      <c r="N74">
        <f t="shared" si="30"/>
        <v>1.7246112278941297</v>
      </c>
      <c r="O74">
        <f t="shared" si="31"/>
        <v>4.4101304221201474</v>
      </c>
      <c r="P74">
        <f t="shared" si="32"/>
        <v>9.1098971444389747</v>
      </c>
      <c r="Q74">
        <f t="shared" si="33"/>
        <v>5.210307470941224</v>
      </c>
    </row>
    <row r="76" spans="2:17">
      <c r="C76">
        <f>_xlfn.STDEV.P(C64:C73)</f>
        <v>2.6258187204355288</v>
      </c>
      <c r="D76">
        <f t="shared" ref="D76:H76" si="34">_xlfn.STDEV.P(D64:D73)</f>
        <v>3.207758549377592</v>
      </c>
      <c r="E76">
        <f t="shared" si="34"/>
        <v>3.0391488081079605</v>
      </c>
      <c r="F76">
        <f t="shared" si="34"/>
        <v>3.228819082090463</v>
      </c>
      <c r="G76">
        <f t="shared" si="34"/>
        <v>3.8413504397579064</v>
      </c>
      <c r="H76">
        <f t="shared" si="34"/>
        <v>6.5398018533983322</v>
      </c>
      <c r="L76">
        <f>_xlfn.STDEV.P(L64:L73)</f>
        <v>0.34330135257872363</v>
      </c>
      <c r="M76">
        <f t="shared" ref="M76:Q76" si="35">_xlfn.STDEV.P(M64:M73)</f>
        <v>0.7832623955587007</v>
      </c>
      <c r="N76">
        <f t="shared" si="35"/>
        <v>1.0589019866797422</v>
      </c>
      <c r="O76">
        <f t="shared" si="35"/>
        <v>1.738386084745607</v>
      </c>
      <c r="P76">
        <f t="shared" si="35"/>
        <v>2.0539021179446717</v>
      </c>
      <c r="Q76">
        <f t="shared" si="35"/>
        <v>2.3564262070353408</v>
      </c>
    </row>
  </sheetData>
  <phoneticPr fontId="2" type="noConversion"/>
  <conditionalFormatting sqref="C2:H12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7:H27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3:H43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9:H59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64:H74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17:Q27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33:Q43 L49:Q59 L64:Q74 L17:Q27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33:Q43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49:Q59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64:Q74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Yuzeng Xu</dc:creator>
  <cp:lastModifiedBy>Yuzeng Xu</cp:lastModifiedBy>
  <dcterms:created xsi:type="dcterms:W3CDTF">2015-06-05T18:19:34Z</dcterms:created>
  <dcterms:modified xsi:type="dcterms:W3CDTF">2026-05-31T15:02:19Z</dcterms:modified>
</cp:coreProperties>
</file>